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總覽儀表板" sheetId="1" state="visible" r:id="rId1"/>
    <sheet xmlns:r="http://schemas.openxmlformats.org/officeDocument/2006/relationships" name="🎯 OBJ1 品牌影響力" sheetId="2" state="visible" r:id="rId2"/>
    <sheet xmlns:r="http://schemas.openxmlformats.org/officeDocument/2006/relationships" name="💰 OBJ2 商業變現" sheetId="3" state="visible" r:id="rId3"/>
    <sheet xmlns:r="http://schemas.openxmlformats.org/officeDocument/2006/relationships" name="🤖 OBJ3 AI生產系統" sheetId="4" state="visible" r:id="rId4"/>
    <sheet xmlns:r="http://schemas.openxmlformats.org/officeDocument/2006/relationships" name="📋 品牌健康度月報" sheetId="5" state="visible" r:id="rId5"/>
    <sheet xmlns:r="http://schemas.openxmlformats.org/officeDocument/2006/relationships" name="🗓️ 季度複盤日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7">
    <font>
      <name val="Calibri"/>
      <family val="2"/>
      <color theme="1"/>
      <sz val="11"/>
      <scheme val="minor"/>
    </font>
    <font>
      <name val="Calibri"/>
      <b val="1"/>
      <color rgb="00D4A847"/>
      <sz val="18"/>
    </font>
    <font>
      <name val="Calibri"/>
      <i val="1"/>
      <color rgb="00E8D5B7"/>
      <sz val="10"/>
    </font>
    <font>
      <name val="Calibri"/>
      <b val="1"/>
      <color rgb="00D4A847"/>
      <sz val="10"/>
    </font>
    <font>
      <name val="Calibri"/>
      <b val="1"/>
      <color rgb="00FFFFFF"/>
      <sz val="10"/>
    </font>
    <font>
      <name val="Calibri"/>
      <b val="1"/>
      <color rgb="003D1F0A"/>
      <sz val="9"/>
    </font>
    <font>
      <name val="Calibri"/>
      <color rgb="007A6555"/>
      <sz val="9"/>
    </font>
    <font>
      <name val="Calibri"/>
      <b val="1"/>
      <color rgb="001C1007"/>
      <sz val="10"/>
    </font>
    <font>
      <name val="Calibri"/>
      <b val="1"/>
      <color rgb="007A6555"/>
      <sz val="9"/>
    </font>
    <font>
      <name val="Calibri"/>
      <b val="1"/>
      <color rgb="00FFFFFF"/>
      <sz val="14"/>
    </font>
    <font>
      <name val="Calibri"/>
      <i val="1"/>
      <color rgb="002C5F8A"/>
      <sz val="9"/>
    </font>
    <font>
      <name val="Calibri"/>
      <b val="1"/>
      <color rgb="00D4A847"/>
      <sz val="9"/>
    </font>
    <font>
      <name val="Calibri"/>
      <b val="1"/>
      <color rgb="001C1007"/>
      <sz val="9"/>
    </font>
    <font>
      <name val="Calibri"/>
      <i val="1"/>
      <color rgb="004A7C59"/>
      <sz val="9"/>
    </font>
    <font>
      <name val="Calibri"/>
      <i val="1"/>
      <color rgb="00A04000"/>
      <sz val="9"/>
    </font>
    <font>
      <name val="Calibri"/>
      <b val="1"/>
      <color rgb="00D4A847"/>
      <sz val="16"/>
    </font>
    <font>
      <name val="Calibri"/>
      <i val="1"/>
      <color rgb="007A6555"/>
      <sz val="9"/>
    </font>
    <font>
      <name val="Calibri"/>
      <b val="1"/>
      <color rgb="00D4A847"/>
      <sz val="11"/>
    </font>
    <font>
      <name val="Calibri"/>
      <color rgb="001C1007"/>
      <sz val="9"/>
    </font>
    <font>
      <name val="Calibri"/>
      <b val="1"/>
      <color rgb="00FFFFFF"/>
      <sz val="11"/>
    </font>
    <font>
      <name val="Calibri"/>
      <b val="1"/>
      <color rgb="00E8D5B7"/>
      <sz val="11"/>
    </font>
    <font>
      <name val="Calibri"/>
      <b val="1"/>
      <color rgb="00D4A847"/>
      <sz val="14"/>
    </font>
    <font>
      <name val="Calibri"/>
      <b val="1"/>
      <color rgb="002C5F8A"/>
      <sz val="9"/>
    </font>
    <font>
      <name val="Calibri"/>
      <b val="1"/>
      <color rgb="004A7C59"/>
      <sz val="9"/>
    </font>
    <font>
      <name val="Calibri"/>
      <b val="1"/>
      <color rgb="00A04000"/>
      <sz val="9"/>
    </font>
    <font>
      <name val="Calibri"/>
      <b val="1"/>
      <color rgb="00C0392B"/>
      <sz val="9"/>
    </font>
    <font>
      <name val="Calibri"/>
      <i val="1"/>
      <color rgb="00C0392B"/>
      <sz val="9"/>
    </font>
  </fonts>
  <fills count="19">
    <fill>
      <patternFill/>
    </fill>
    <fill>
      <patternFill patternType="gray125"/>
    </fill>
    <fill>
      <patternFill patternType="solid">
        <fgColor rgb="001C1007"/>
      </patternFill>
    </fill>
    <fill>
      <patternFill patternType="solid">
        <fgColor rgb="003D1F0A"/>
      </patternFill>
    </fill>
    <fill>
      <patternFill patternType="solid">
        <fgColor rgb="00F0EAE0"/>
      </patternFill>
    </fill>
    <fill>
      <patternFill patternType="solid">
        <fgColor rgb="002C5F8A"/>
      </patternFill>
    </fill>
    <fill>
      <patternFill patternType="solid">
        <fgColor rgb="00EBF5FB"/>
      </patternFill>
    </fill>
    <fill>
      <patternFill patternType="solid">
        <fgColor rgb="00F7F3EE"/>
      </patternFill>
    </fill>
    <fill>
      <patternFill patternType="solid">
        <fgColor rgb="00FFFFFF"/>
      </patternFill>
    </fill>
    <fill>
      <patternFill patternType="solid">
        <fgColor rgb="004A7C59"/>
      </patternFill>
    </fill>
    <fill>
      <patternFill patternType="solid">
        <fgColor rgb="00E9F7EF"/>
      </patternFill>
    </fill>
    <fill>
      <patternFill patternType="solid">
        <fgColor rgb="00C0813A"/>
      </patternFill>
    </fill>
    <fill>
      <patternFill patternType="solid">
        <fgColor rgb="00FEF9E7"/>
      </patternFill>
    </fill>
    <fill>
      <patternFill patternType="solid">
        <fgColor rgb="00F0F8FF"/>
      </patternFill>
    </fill>
    <fill>
      <patternFill patternType="solid">
        <fgColor rgb="00F0FFF0"/>
      </patternFill>
    </fill>
    <fill>
      <patternFill patternType="solid">
        <fgColor rgb="00FFFBF0"/>
      </patternFill>
    </fill>
    <fill>
      <patternFill patternType="solid">
        <fgColor rgb="00A04000"/>
      </patternFill>
    </fill>
    <fill>
      <patternFill patternType="solid">
        <fgColor rgb="00C0392B"/>
      </patternFill>
    </fill>
    <fill>
      <patternFill patternType="solid">
        <fgColor rgb="00FDEDEC"/>
      </patternFill>
    </fill>
  </fills>
  <borders count="3">
    <border>
      <left/>
      <right/>
      <top/>
      <bottom/>
      <diagonal/>
    </border>
    <border>
      <left style="thin">
        <color rgb="00D4C4A8"/>
      </left>
      <right style="thin">
        <color rgb="00D4C4A8"/>
      </right>
      <top style="thin">
        <color rgb="00D4C4A8"/>
      </top>
      <bottom style="thin">
        <color rgb="00D4C4A8"/>
      </bottom>
    </border>
    <border>
      <bottom style="medium">
        <color rgb="00C0813A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3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9" fontId="6" fillId="6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9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/>
    </xf>
    <xf numFmtId="9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12" fillId="13" borderId="1" applyAlignment="1" pivotButton="0" quotePrefix="0" xfId="0">
      <alignment horizontal="center" vertical="center"/>
    </xf>
    <xf numFmtId="3" fontId="12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164" fontId="12" fillId="13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2" fillId="14" borderId="1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4" fillId="12" borderId="0" applyAlignment="1" pivotButton="0" quotePrefix="0" xfId="0">
      <alignment horizontal="left" vertical="center"/>
    </xf>
    <xf numFmtId="0" fontId="12" fillId="15" borderId="1" applyAlignment="1" pivotButton="0" quotePrefix="0" xfId="0">
      <alignment horizontal="center" vertical="center"/>
    </xf>
    <xf numFmtId="164" fontId="12" fillId="15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/>
    </xf>
    <xf numFmtId="0" fontId="17" fillId="2" borderId="2" applyAlignment="1" pivotButton="0" quotePrefix="0" xfId="0">
      <alignment horizontal="left" vertical="center"/>
    </xf>
    <xf numFmtId="0" fontId="0" fillId="8" borderId="1" pivotButton="0" quotePrefix="0" xfId="0"/>
    <xf numFmtId="0" fontId="5" fillId="4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left" vertical="center" wrapText="1"/>
    </xf>
    <xf numFmtId="0" fontId="19" fillId="5" borderId="2" applyAlignment="1" pivotButton="0" quotePrefix="0" xfId="0">
      <alignment horizontal="left" vertical="center"/>
    </xf>
    <xf numFmtId="0" fontId="20" fillId="3" borderId="2" applyAlignment="1" pivotButton="0" quotePrefix="0" xfId="0">
      <alignment horizontal="left" vertical="center"/>
    </xf>
    <xf numFmtId="0" fontId="19" fillId="9" borderId="2" applyAlignment="1" pivotButton="0" quotePrefix="0" xfId="0">
      <alignment horizontal="left" vertical="center"/>
    </xf>
    <xf numFmtId="0" fontId="19" fillId="11" borderId="2" applyAlignment="1" pivotButton="0" quotePrefix="0" xfId="0">
      <alignment horizontal="left" vertical="center"/>
    </xf>
    <xf numFmtId="0" fontId="0" fillId="0" borderId="1" pivotButton="0" quotePrefix="0" xfId="0"/>
    <xf numFmtId="0" fontId="16" fillId="8" borderId="1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top" wrapText="1"/>
    </xf>
    <xf numFmtId="0" fontId="22" fillId="6" borderId="1" applyAlignment="1" pivotButton="0" quotePrefix="0" xfId="0">
      <alignment horizontal="center" vertical="top" wrapText="1"/>
    </xf>
    <xf numFmtId="0" fontId="12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top" wrapText="1"/>
    </xf>
    <xf numFmtId="0" fontId="19" fillId="9" borderId="1" applyAlignment="1" pivotButton="0" quotePrefix="0" xfId="0">
      <alignment horizontal="center" vertical="top" wrapText="1"/>
    </xf>
    <xf numFmtId="0" fontId="23" fillId="10" borderId="1" applyAlignment="1" pivotButton="0" quotePrefix="0" xfId="0">
      <alignment horizontal="center" vertical="top" wrapText="1"/>
    </xf>
    <xf numFmtId="0" fontId="12" fillId="10" borderId="1" applyAlignment="1" pivotButton="0" quotePrefix="0" xfId="0">
      <alignment horizontal="center" vertical="top" wrapText="1"/>
    </xf>
    <xf numFmtId="0" fontId="13" fillId="10" borderId="1" applyAlignment="1" pivotButton="0" quotePrefix="0" xfId="0">
      <alignment horizontal="left" vertical="top" wrapText="1"/>
    </xf>
    <xf numFmtId="0" fontId="19" fillId="16" borderId="1" applyAlignment="1" pivotButton="0" quotePrefix="0" xfId="0">
      <alignment horizontal="center" vertical="top" wrapText="1"/>
    </xf>
    <xf numFmtId="0" fontId="24" fillId="12" borderId="1" applyAlignment="1" pivotButton="0" quotePrefix="0" xfId="0">
      <alignment horizontal="center" vertical="top" wrapText="1"/>
    </xf>
    <xf numFmtId="0" fontId="12" fillId="12" borderId="1" applyAlignment="1" pivotButton="0" quotePrefix="0" xfId="0">
      <alignment horizontal="center" vertical="top" wrapText="1"/>
    </xf>
    <xf numFmtId="0" fontId="14" fillId="12" borderId="1" applyAlignment="1" pivotButton="0" quotePrefix="0" xfId="0">
      <alignment horizontal="left" vertical="top" wrapText="1"/>
    </xf>
    <xf numFmtId="0" fontId="19" fillId="17" borderId="1" applyAlignment="1" pivotButton="0" quotePrefix="0" xfId="0">
      <alignment horizontal="center" vertical="top" wrapText="1"/>
    </xf>
    <xf numFmtId="0" fontId="25" fillId="18" borderId="1" applyAlignment="1" pivotButton="0" quotePrefix="0" xfId="0">
      <alignment horizontal="center" vertical="top" wrapText="1"/>
    </xf>
    <xf numFmtId="0" fontId="12" fillId="18" borderId="1" applyAlignment="1" pivotButton="0" quotePrefix="0" xfId="0">
      <alignment horizontal="center" vertical="top" wrapText="1"/>
    </xf>
    <xf numFmtId="0" fontId="26" fillId="1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1" customWidth="1" min="10" max="10"/>
    <col width="10" customWidth="1" min="11" max="11"/>
    <col width="22" customWidth="1" min="12" max="12"/>
  </cols>
  <sheetData>
    <row r="1" ht="52" customHeight="1">
      <c r="A1" s="1" t="inlineStr">
        <is>
          <t>BNotes 2026 KPI 追蹤儀表板　·　Phase 1 Brand Strategy</t>
        </is>
      </c>
    </row>
    <row r="2" ht="28" customHeight="1">
      <c r="A2" s="2" t="inlineStr">
        <is>
          <t>Skywork AI 自動化內容媒體　·　精品咖啡知識平台　·　版本 v2026.04.06</t>
        </is>
      </c>
    </row>
    <row r="3" ht="20" customHeight="1">
      <c r="A3" s="3" t="inlineStr"/>
    </row>
    <row r="4">
      <c r="A4" s="4" t="inlineStr">
        <is>
          <t>Objective</t>
        </is>
      </c>
      <c r="B4" s="4" t="inlineStr">
        <is>
          <t>Key Result</t>
        </is>
      </c>
      <c r="C4" s="4" t="inlineStr">
        <is>
          <t>指標類型</t>
        </is>
      </c>
      <c r="D4" s="4" t="inlineStr">
        <is>
          <t>2026目標值</t>
        </is>
      </c>
      <c r="E4" s="4" t="inlineStr">
        <is>
          <t>Q1基準</t>
        </is>
      </c>
      <c r="F4" s="4" t="inlineStr">
        <is>
          <t>Q2中期</t>
        </is>
      </c>
      <c r="G4" s="4" t="inlineStr">
        <is>
          <t>Q3中期</t>
        </is>
      </c>
      <c r="H4" s="4" t="inlineStr">
        <is>
          <t>Q4/年終</t>
        </is>
      </c>
      <c r="I4" s="4" t="inlineStr">
        <is>
          <t>目前實績</t>
        </is>
      </c>
      <c r="J4" s="4" t="inlineStr">
        <is>
          <t>達成率</t>
        </is>
      </c>
      <c r="K4" s="4" t="inlineStr">
        <is>
          <t>狀態</t>
        </is>
      </c>
      <c r="L4" s="4" t="inlineStr">
        <is>
          <t>備註</t>
        </is>
      </c>
    </row>
    <row r="5" ht="30" customHeight="1">
      <c r="A5" s="5" t="inlineStr">
        <is>
          <t>OBJ1
品牌影響力</t>
        </is>
      </c>
      <c r="B5" s="6" t="inlineStr">
        <is>
          <t>KR1：YouTube 訂閱數</t>
        </is>
      </c>
      <c r="C5" s="7" t="inlineStr">
        <is>
          <t>訂閱人數</t>
        </is>
      </c>
      <c r="D5" s="8" t="n">
        <v>10000</v>
      </c>
      <c r="E5" s="9" t="n">
        <v>1500</v>
      </c>
      <c r="F5" s="9" t="n">
        <v>4000</v>
      </c>
      <c r="G5" s="9" t="n">
        <v>7000</v>
      </c>
      <c r="H5" s="9" t="n">
        <v>10000</v>
      </c>
      <c r="I5" s="10" t="n">
        <v>0</v>
      </c>
      <c r="J5" s="11">
        <f>IFERROR(I5/10000,0)</f>
        <v/>
      </c>
      <c r="K5" s="12" t="inlineStr">
        <is>
          <t>基準：0（新頻道）</t>
        </is>
      </c>
    </row>
    <row r="6" ht="30" customHeight="1">
      <c r="A6" s="13" t="inlineStr"/>
      <c r="B6" s="6" t="inlineStr">
        <is>
          <t>KR2：Instagram 追蹤數</t>
        </is>
      </c>
      <c r="C6" s="7" t="inlineStr">
        <is>
          <t>追蹤人數</t>
        </is>
      </c>
      <c r="D6" s="8" t="n">
        <v>15000</v>
      </c>
      <c r="E6" s="9" t="n">
        <v>2000</v>
      </c>
      <c r="F6" s="9" t="n">
        <v>6000</v>
      </c>
      <c r="G6" s="9" t="n">
        <v>11000</v>
      </c>
      <c r="H6" s="9" t="n">
        <v>15000</v>
      </c>
      <c r="I6" s="10" t="n">
        <v>0</v>
      </c>
      <c r="J6" s="11">
        <f>IFERROR(I6/15000,0)</f>
        <v/>
      </c>
      <c r="K6" s="12" t="inlineStr">
        <is>
          <t>Reels 觸及率 ≥ 8%</t>
        </is>
      </c>
    </row>
    <row r="7" ht="30" customHeight="1">
      <c r="A7" s="13" t="inlineStr"/>
      <c r="B7" s="6" t="inlineStr">
        <is>
          <t>KR3：Newsletter 訂閱數</t>
        </is>
      </c>
      <c r="C7" s="7" t="inlineStr">
        <is>
          <t>訂閱人數</t>
        </is>
      </c>
      <c r="D7" s="8" t="n">
        <v>3000</v>
      </c>
      <c r="E7" s="14" t="n">
        <v>400</v>
      </c>
      <c r="F7" s="9" t="n">
        <v>1200</v>
      </c>
      <c r="G7" s="9" t="n">
        <v>2200</v>
      </c>
      <c r="H7" s="9" t="n">
        <v>3000</v>
      </c>
      <c r="I7" s="10" t="n">
        <v>0</v>
      </c>
      <c r="J7" s="11">
        <f>IFERROR(I7/3000,0)</f>
        <v/>
      </c>
      <c r="K7" s="12" t="inlineStr">
        <is>
          <t>開信率目標 ≥ 35%</t>
        </is>
      </c>
    </row>
    <row r="8" ht="30" customHeight="1">
      <c r="A8" s="15" t="inlineStr">
        <is>
          <t>OBJ2
商業變現</t>
        </is>
      </c>
      <c r="B8" s="16" t="inlineStr">
        <is>
          <t>KR1：付費訂閱人數（月底）</t>
        </is>
      </c>
      <c r="C8" s="17" t="inlineStr">
        <is>
          <t>付費用戶</t>
        </is>
      </c>
      <c r="D8" s="18" t="n">
        <v>200</v>
      </c>
      <c r="E8" s="14" t="n">
        <v>20</v>
      </c>
      <c r="F8" s="14" t="n">
        <v>80</v>
      </c>
      <c r="G8" s="14" t="n">
        <v>150</v>
      </c>
      <c r="H8" s="14" t="n">
        <v>200</v>
      </c>
      <c r="I8" s="10" t="n">
        <v>0</v>
      </c>
      <c r="J8" s="19">
        <f>IFERROR(I8/200,0)</f>
        <v/>
      </c>
      <c r="K8" s="12" t="inlineStr">
        <is>
          <t>NT$250/月，MRR目標NT$50K</t>
        </is>
      </c>
    </row>
    <row r="9" ht="30" customHeight="1">
      <c r="A9" s="20" t="inlineStr"/>
      <c r="B9" s="16" t="inlineStr">
        <is>
          <t>KR2：線上課程年收入（NT$）</t>
        </is>
      </c>
      <c r="C9" s="17" t="inlineStr">
        <is>
          <t>收入(NT$)</t>
        </is>
      </c>
      <c r="D9" s="8" t="n">
        <v>300000</v>
      </c>
      <c r="E9" s="14" t="n">
        <v>0</v>
      </c>
      <c r="F9" s="9" t="n">
        <v>100000</v>
      </c>
      <c r="G9" s="9" t="n">
        <v>200000</v>
      </c>
      <c r="H9" s="9" t="n">
        <v>300000</v>
      </c>
      <c r="I9" s="10" t="n">
        <v>0</v>
      </c>
      <c r="J9" s="19">
        <f>IFERROR(I9/300000,0)</f>
        <v/>
      </c>
      <c r="K9" s="12" t="inlineStr">
        <is>
          <t>目標平台：Hahow / PressPlay</t>
        </is>
      </c>
    </row>
    <row r="10" ht="30" customHeight="1">
      <c r="A10" s="20" t="inlineStr"/>
      <c r="B10" s="16" t="inlineStr">
        <is>
          <t>KR3：社群活躍成員數</t>
        </is>
      </c>
      <c r="C10" s="17" t="inlineStr">
        <is>
          <t>活躍成員</t>
        </is>
      </c>
      <c r="D10" s="18" t="n">
        <v>500</v>
      </c>
      <c r="E10" s="14" t="n">
        <v>0</v>
      </c>
      <c r="F10" s="14" t="n">
        <v>150</v>
      </c>
      <c r="G10" s="14" t="n">
        <v>350</v>
      </c>
      <c r="H10" s="14" t="n">
        <v>500</v>
      </c>
      <c r="I10" s="10" t="n">
        <v>0</v>
      </c>
      <c r="J10" s="19">
        <f>IFERROR(I10/500,0)</f>
        <v/>
      </c>
      <c r="K10" s="12" t="inlineStr">
        <is>
          <t>Discord 或 LINE OA</t>
        </is>
      </c>
    </row>
    <row r="11" ht="30" customHeight="1">
      <c r="A11" s="21" t="inlineStr">
        <is>
          <t>OBJ3
AI生產系統</t>
        </is>
      </c>
      <c r="B11" s="22" t="inlineStr">
        <is>
          <t>KR1：Prompt SOP 模板數量</t>
        </is>
      </c>
      <c r="C11" s="23" t="inlineStr">
        <is>
          <t>模板件數</t>
        </is>
      </c>
      <c r="D11" s="18" t="n">
        <v>12</v>
      </c>
      <c r="E11" s="14" t="n">
        <v>3</v>
      </c>
      <c r="F11" s="14" t="n">
        <v>8</v>
      </c>
      <c r="G11" s="14" t="n">
        <v>10</v>
      </c>
      <c r="H11" s="14" t="n">
        <v>12</v>
      </c>
      <c r="I11" s="10" t="n">
        <v>0</v>
      </c>
      <c r="J11" s="24">
        <f>IFERROR(I11/12,0)</f>
        <v/>
      </c>
      <c r="K11" s="12" t="inlineStr">
        <is>
          <t>Q2完成基礎12個</t>
        </is>
      </c>
    </row>
    <row r="12" ht="30" customHeight="1">
      <c r="A12" s="25" t="inlineStr"/>
      <c r="B12" s="22" t="inlineStr">
        <is>
          <t>KR2：月報自動化（人工時數）</t>
        </is>
      </c>
      <c r="C12" s="23" t="inlineStr">
        <is>
          <t>分鐘/月</t>
        </is>
      </c>
      <c r="D12" s="18" t="n">
        <v>30</v>
      </c>
      <c r="E12" s="14" t="n">
        <v>90</v>
      </c>
      <c r="F12" s="14" t="n">
        <v>60</v>
      </c>
      <c r="G12" s="14" t="n">
        <v>45</v>
      </c>
      <c r="H12" s="14" t="n">
        <v>30</v>
      </c>
      <c r="I12" s="10" t="n">
        <v>0</v>
      </c>
      <c r="J12" s="24">
        <f>IFERROR(1-(I12-30)/(90-30),0)</f>
        <v/>
      </c>
      <c r="K12" s="12" t="inlineStr">
        <is>
          <t>目標≤30分/月（越低越好）</t>
        </is>
      </c>
    </row>
    <row r="13" ht="30" customHeight="1">
      <c r="A13" s="25" t="inlineStr"/>
      <c r="B13" s="22" t="inlineStr">
        <is>
          <t>KR3：週內容輸出量（件/週）</t>
        </is>
      </c>
      <c r="C13" s="23" t="inlineStr">
        <is>
          <t>件/週</t>
        </is>
      </c>
      <c r="D13" s="18" t="n">
        <v>5</v>
      </c>
      <c r="E13" s="14" t="n">
        <v>2</v>
      </c>
      <c r="F13" s="14" t="n">
        <v>3</v>
      </c>
      <c r="G13" s="14" t="n">
        <v>4</v>
      </c>
      <c r="H13" s="14" t="n">
        <v>5</v>
      </c>
      <c r="I13" s="10" t="n">
        <v>0</v>
      </c>
      <c r="J13" s="24">
        <f>IFERROR(I13/5,0)</f>
        <v/>
      </c>
      <c r="K13" s="12" t="inlineStr">
        <is>
          <t>製作時間↓40%，品質不降</t>
        </is>
      </c>
    </row>
  </sheetData>
  <mergeCells count="3">
    <mergeCell ref="A3:L3"/>
    <mergeCell ref="A2:L2"/>
    <mergeCell ref="A1:L1"/>
  </mergeCells>
  <conditionalFormatting sqref="J5:J13">
    <cfRule type="colorScale" priority="1">
      <colorScale>
        <cfvo type="num" val="0"/>
        <cfvo type="num" val="0.5"/>
        <cfvo type="num" val="1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40" customHeight="1">
      <c r="A1" s="26" t="inlineStr">
        <is>
          <t>OBJ1：成為台灣最具公信力的精品咖啡知識媒體　·　月度追蹤</t>
        </is>
      </c>
    </row>
    <row r="2" ht="22" customHeight="1">
      <c r="A2" s="27" t="inlineStr">
        <is>
          <t xml:space="preserve">　KR1: YouTube ≥ 10,000 訂閱　|　KR2: Instagram ≥ 15,000 追蹤（Reels觸及率≥8%）　|　KR3: Newsletter ≥ 3,000 訂閱（開信率≥35%）</t>
        </is>
      </c>
    </row>
    <row r="3">
      <c r="A3" s="28" t="inlineStr">
        <is>
          <t>月份</t>
        </is>
      </c>
      <c r="B3" s="28" t="inlineStr">
        <is>
          <t>一月</t>
        </is>
      </c>
      <c r="C3" s="28" t="inlineStr">
        <is>
          <t>二月</t>
        </is>
      </c>
      <c r="D3" s="28" t="inlineStr">
        <is>
          <t>三月</t>
        </is>
      </c>
      <c r="E3" s="28" t="inlineStr">
        <is>
          <t>四月</t>
        </is>
      </c>
      <c r="F3" s="28" t="inlineStr">
        <is>
          <t>五月</t>
        </is>
      </c>
      <c r="G3" s="28" t="inlineStr">
        <is>
          <t>六月</t>
        </is>
      </c>
      <c r="H3" s="28" t="inlineStr">
        <is>
          <t>七月</t>
        </is>
      </c>
      <c r="I3" s="28" t="inlineStr">
        <is>
          <t>八月</t>
        </is>
      </c>
      <c r="J3" s="28" t="inlineStr">
        <is>
          <t>九月</t>
        </is>
      </c>
      <c r="K3" s="28" t="inlineStr">
        <is>
          <t>十月</t>
        </is>
      </c>
      <c r="L3" s="28" t="inlineStr">
        <is>
          <t>十一月</t>
        </is>
      </c>
      <c r="M3" s="28" t="inlineStr">
        <is>
          <t>十二月</t>
        </is>
      </c>
      <c r="N3" s="28" t="inlineStr">
        <is>
          <t>年度目標</t>
        </is>
      </c>
    </row>
    <row r="4" ht="22" customHeight="1">
      <c r="A4" s="29" t="inlineStr">
        <is>
          <t>KR1：YouTube 訂閱數</t>
        </is>
      </c>
      <c r="B4" s="30" t="n">
        <v>1500</v>
      </c>
      <c r="C4" s="30" t="n">
        <v>2500</v>
      </c>
      <c r="D4" s="30" t="n">
        <v>3200</v>
      </c>
      <c r="E4" s="14" t="n">
        <v>4000</v>
      </c>
      <c r="F4" s="14" t="n">
        <v>5000</v>
      </c>
      <c r="G4" s="14" t="n">
        <v>5800</v>
      </c>
      <c r="H4" s="14" t="n">
        <v>6500</v>
      </c>
      <c r="I4" s="14" t="n">
        <v>7200</v>
      </c>
      <c r="J4" s="14" t="n">
        <v>7800</v>
      </c>
      <c r="K4" s="14" t="n">
        <v>8500</v>
      </c>
      <c r="L4" s="14" t="n">
        <v>9200</v>
      </c>
      <c r="M4" s="14" t="n">
        <v>10000</v>
      </c>
      <c r="N4" s="31" t="n">
        <v>10000</v>
      </c>
    </row>
    <row r="5" ht="22" customHeight="1">
      <c r="A5" s="32" t="inlineStr">
        <is>
          <t xml:space="preserve">  ↳ 當月新增訂閱</t>
        </is>
      </c>
      <c r="B5" s="30" t="n">
        <v>1500</v>
      </c>
      <c r="C5" s="30" t="n">
        <v>1000</v>
      </c>
      <c r="D5" s="30" t="n">
        <v>700</v>
      </c>
      <c r="E5" s="14" t="n">
        <v>800</v>
      </c>
      <c r="F5" s="14" t="n">
        <v>1000</v>
      </c>
      <c r="G5" s="14" t="n">
        <v>800</v>
      </c>
      <c r="H5" s="14" t="n">
        <v>700</v>
      </c>
      <c r="I5" s="14" t="n">
        <v>700</v>
      </c>
      <c r="J5" s="14" t="n">
        <v>600</v>
      </c>
      <c r="K5" s="14" t="n">
        <v>700</v>
      </c>
      <c r="L5" s="14" t="n">
        <v>700</v>
      </c>
      <c r="M5" s="14" t="n">
        <v>800</v>
      </c>
      <c r="N5" s="33">
        <f>SUM(B4:M4)</f>
        <v/>
      </c>
    </row>
    <row r="6" ht="22" customHeight="1">
      <c r="A6" s="32" t="inlineStr">
        <is>
          <t xml:space="preserve">  ↳ 月平均觀看完成率(%)</t>
        </is>
      </c>
      <c r="B6" s="30" t="n">
        <v>35</v>
      </c>
      <c r="C6" s="30" t="n">
        <v>37</v>
      </c>
      <c r="D6" s="30" t="n">
        <v>38</v>
      </c>
      <c r="E6" s="14" t="n">
        <v>40</v>
      </c>
      <c r="F6" s="14" t="n">
        <v>40</v>
      </c>
      <c r="G6" s="14" t="n">
        <v>41</v>
      </c>
      <c r="H6" s="14" t="n">
        <v>42</v>
      </c>
      <c r="I6" s="14" t="n">
        <v>42</v>
      </c>
      <c r="J6" s="14" t="n">
        <v>43</v>
      </c>
      <c r="K6" s="14" t="n">
        <v>44</v>
      </c>
      <c r="L6" s="14" t="n">
        <v>44</v>
      </c>
      <c r="M6" s="14" t="n">
        <v>45</v>
      </c>
      <c r="N6" s="33" t="n">
        <v>45</v>
      </c>
    </row>
    <row r="7" ht="22" customHeight="1">
      <c r="A7" s="29" t="inlineStr">
        <is>
          <t>KR2：Instagram 追蹤數</t>
        </is>
      </c>
      <c r="B7" s="30" t="n">
        <v>2000</v>
      </c>
      <c r="C7" s="30" t="n">
        <v>3500</v>
      </c>
      <c r="D7" s="30" t="n">
        <v>5000</v>
      </c>
      <c r="E7" s="14" t="n">
        <v>6000</v>
      </c>
      <c r="F7" s="14" t="n">
        <v>7500</v>
      </c>
      <c r="G7" s="14" t="n">
        <v>8500</v>
      </c>
      <c r="H7" s="14" t="n">
        <v>9500</v>
      </c>
      <c r="I7" s="14" t="n">
        <v>10500</v>
      </c>
      <c r="J7" s="14" t="n">
        <v>11500</v>
      </c>
      <c r="K7" s="14" t="n">
        <v>12500</v>
      </c>
      <c r="L7" s="14" t="n">
        <v>13500</v>
      </c>
      <c r="M7" s="14" t="n">
        <v>15000</v>
      </c>
      <c r="N7" s="31" t="n">
        <v>15000</v>
      </c>
    </row>
    <row r="8" ht="22" customHeight="1">
      <c r="A8" s="32" t="inlineStr">
        <is>
          <t xml:space="preserve">  ↳ 當月新增追蹤</t>
        </is>
      </c>
      <c r="B8" s="30" t="n">
        <v>2000</v>
      </c>
      <c r="C8" s="30" t="n">
        <v>1500</v>
      </c>
      <c r="D8" s="30" t="n">
        <v>1500</v>
      </c>
      <c r="E8" s="14" t="n">
        <v>1000</v>
      </c>
      <c r="F8" s="14" t="n">
        <v>1500</v>
      </c>
      <c r="G8" s="14" t="n">
        <v>1000</v>
      </c>
      <c r="H8" s="14" t="n">
        <v>1000</v>
      </c>
      <c r="I8" s="14" t="n">
        <v>1000</v>
      </c>
      <c r="J8" s="14" t="n">
        <v>1000</v>
      </c>
      <c r="K8" s="14" t="n">
        <v>1000</v>
      </c>
      <c r="L8" s="14" t="n">
        <v>1000</v>
      </c>
      <c r="M8" s="14" t="n">
        <v>1500</v>
      </c>
      <c r="N8" s="33">
        <f>SUM(B7:M7)</f>
        <v/>
      </c>
    </row>
    <row r="9" ht="22" customHeight="1">
      <c r="A9" s="32" t="inlineStr">
        <is>
          <t xml:space="preserve">  ↳ Reels 平均觸及率(%)</t>
        </is>
      </c>
      <c r="B9" s="30" t="n">
        <v>5</v>
      </c>
      <c r="C9" s="34" t="n">
        <v>5.5</v>
      </c>
      <c r="D9" s="30" t="n">
        <v>6</v>
      </c>
      <c r="E9" s="14" t="n">
        <v>7</v>
      </c>
      <c r="F9" s="35" t="n">
        <v>7.5</v>
      </c>
      <c r="G9" s="14" t="n">
        <v>8</v>
      </c>
      <c r="H9" s="14" t="n">
        <v>8</v>
      </c>
      <c r="I9" s="35" t="n">
        <v>8.5</v>
      </c>
      <c r="J9" s="35" t="n">
        <v>8.5</v>
      </c>
      <c r="K9" s="14" t="n">
        <v>9</v>
      </c>
      <c r="L9" s="14" t="n">
        <v>9</v>
      </c>
      <c r="M9" s="35" t="n">
        <v>9.5</v>
      </c>
      <c r="N9" s="33" t="n">
        <v>9.5</v>
      </c>
    </row>
    <row r="10" ht="22" customHeight="1">
      <c r="A10" s="32" t="inlineStr">
        <is>
          <t xml:space="preserve">  ↳ 靜態圖文觸及率(%)</t>
        </is>
      </c>
      <c r="B10" s="34" t="n">
        <v>2.5</v>
      </c>
      <c r="C10" s="30" t="n">
        <v>3</v>
      </c>
      <c r="D10" s="34" t="n">
        <v>3.2</v>
      </c>
      <c r="E10" s="35" t="n">
        <v>3.5</v>
      </c>
      <c r="F10" s="35" t="n">
        <v>3.5</v>
      </c>
      <c r="G10" s="35" t="n">
        <v>3.8</v>
      </c>
      <c r="H10" s="14" t="n">
        <v>4</v>
      </c>
      <c r="I10" s="14" t="n">
        <v>4</v>
      </c>
      <c r="J10" s="35" t="n">
        <v>4.2</v>
      </c>
      <c r="K10" s="35" t="n">
        <v>4.5</v>
      </c>
      <c r="L10" s="35" t="n">
        <v>4.5</v>
      </c>
      <c r="M10" s="14" t="n">
        <v>5</v>
      </c>
      <c r="N10" s="33" t="n">
        <v>5</v>
      </c>
    </row>
    <row r="11" ht="22" customHeight="1">
      <c r="A11" s="29" t="inlineStr">
        <is>
          <t>KR3：Newsletter 訂閱數</t>
        </is>
      </c>
      <c r="B11" s="30" t="n">
        <v>400</v>
      </c>
      <c r="C11" s="30" t="n">
        <v>650</v>
      </c>
      <c r="D11" s="30" t="n">
        <v>900</v>
      </c>
      <c r="E11" s="14" t="n">
        <v>1200</v>
      </c>
      <c r="F11" s="14" t="n">
        <v>1450</v>
      </c>
      <c r="G11" s="14" t="n">
        <v>1700</v>
      </c>
      <c r="H11" s="14" t="n">
        <v>2000</v>
      </c>
      <c r="I11" s="14" t="n">
        <v>2200</v>
      </c>
      <c r="J11" s="14" t="n">
        <v>2400</v>
      </c>
      <c r="K11" s="14" t="n">
        <v>2650</v>
      </c>
      <c r="L11" s="14" t="n">
        <v>2850</v>
      </c>
      <c r="M11" s="14" t="n">
        <v>3000</v>
      </c>
      <c r="N11" s="31" t="n">
        <v>3000</v>
      </c>
    </row>
    <row r="12" ht="22" customHeight="1">
      <c r="A12" s="32" t="inlineStr">
        <is>
          <t xml:space="preserve">  ↳ 當月新增訂閱</t>
        </is>
      </c>
      <c r="B12" s="30" t="n">
        <v>400</v>
      </c>
      <c r="C12" s="30" t="n">
        <v>250</v>
      </c>
      <c r="D12" s="30" t="n">
        <v>250</v>
      </c>
      <c r="E12" s="14" t="n">
        <v>300</v>
      </c>
      <c r="F12" s="14" t="n">
        <v>250</v>
      </c>
      <c r="G12" s="14" t="n">
        <v>250</v>
      </c>
      <c r="H12" s="14" t="n">
        <v>300</v>
      </c>
      <c r="I12" s="14" t="n">
        <v>200</v>
      </c>
      <c r="J12" s="14" t="n">
        <v>200</v>
      </c>
      <c r="K12" s="14" t="n">
        <v>250</v>
      </c>
      <c r="L12" s="14" t="n">
        <v>200</v>
      </c>
      <c r="M12" s="14" t="n">
        <v>150</v>
      </c>
      <c r="N12" s="33">
        <f>SUM(B12:M12)</f>
        <v/>
      </c>
    </row>
    <row r="13" ht="22" customHeight="1">
      <c r="A13" s="32" t="inlineStr">
        <is>
          <t xml:space="preserve">  ↳ 開信率(%)</t>
        </is>
      </c>
      <c r="B13" s="30" t="n">
        <v>30</v>
      </c>
      <c r="C13" s="30" t="n">
        <v>31</v>
      </c>
      <c r="D13" s="30" t="n">
        <v>32</v>
      </c>
      <c r="E13" s="14" t="n">
        <v>33</v>
      </c>
      <c r="F13" s="14" t="n">
        <v>34</v>
      </c>
      <c r="G13" s="14" t="n">
        <v>35</v>
      </c>
      <c r="H13" s="14" t="n">
        <v>35</v>
      </c>
      <c r="I13" s="14" t="n">
        <v>36</v>
      </c>
      <c r="J13" s="14" t="n">
        <v>36</v>
      </c>
      <c r="K13" s="14" t="n">
        <v>37</v>
      </c>
      <c r="L13" s="14" t="n">
        <v>37</v>
      </c>
      <c r="M13" s="14" t="n">
        <v>38</v>
      </c>
      <c r="N13" s="33" t="n">
        <v>38</v>
      </c>
    </row>
    <row r="14" ht="22" customHeight="1">
      <c r="A14" s="32" t="inlineStr">
        <is>
          <t xml:space="preserve">  ↳ 點擊率(%)</t>
        </is>
      </c>
      <c r="B14" s="34" t="n">
        <v>3.5</v>
      </c>
      <c r="C14" s="30" t="n">
        <v>4</v>
      </c>
      <c r="D14" s="34" t="n">
        <v>4.2</v>
      </c>
      <c r="E14" s="35" t="n">
        <v>4.5</v>
      </c>
      <c r="F14" s="35" t="n">
        <v>4.5</v>
      </c>
      <c r="G14" s="14" t="n">
        <v>5</v>
      </c>
      <c r="H14" s="35" t="n">
        <v>5.2</v>
      </c>
      <c r="I14" s="35" t="n">
        <v>5.5</v>
      </c>
      <c r="J14" s="35" t="n">
        <v>5.5</v>
      </c>
      <c r="K14" s="14" t="n">
        <v>6</v>
      </c>
      <c r="L14" s="14" t="n">
        <v>6</v>
      </c>
      <c r="M14" s="35" t="n">
        <v>6.5</v>
      </c>
      <c r="N14" s="33" t="n">
        <v>6.5</v>
      </c>
    </row>
    <row r="15" ht="22" customHeight="1">
      <c r="A15" s="32" t="inlineStr">
        <is>
          <t>Threads 文字互動次數</t>
        </is>
      </c>
      <c r="B15" s="30" t="n">
        <v>50</v>
      </c>
      <c r="C15" s="30" t="n">
        <v>80</v>
      </c>
      <c r="D15" s="30" t="n">
        <v>100</v>
      </c>
      <c r="E15" s="14" t="n">
        <v>120</v>
      </c>
      <c r="F15" s="14" t="n">
        <v>140</v>
      </c>
      <c r="G15" s="14" t="n">
        <v>160</v>
      </c>
      <c r="H15" s="14" t="n">
        <v>180</v>
      </c>
      <c r="I15" s="14" t="n">
        <v>200</v>
      </c>
      <c r="J15" s="14" t="n">
        <v>220</v>
      </c>
      <c r="K15" s="14" t="n">
        <v>240</v>
      </c>
      <c r="L15" s="14" t="n">
        <v>260</v>
      </c>
      <c r="M15" s="14" t="n">
        <v>300</v>
      </c>
      <c r="N15" s="33" t="n">
        <v>300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40" customHeight="1">
      <c r="A1" s="36" t="inlineStr">
        <is>
          <t>OBJ2：建立可持續的自媒體變現系統　·　月度追蹤</t>
        </is>
      </c>
    </row>
    <row r="2" ht="22" customHeight="1">
      <c r="A2" s="37" t="inlineStr">
        <is>
          <t xml:space="preserve">　KR1: 付費訂閱≥200人（NT$250/月）　|　KR2: 線上課程年收入≥NT$300,000　|　KR3: 社群活躍成員≥500人</t>
        </is>
      </c>
    </row>
    <row r="3">
      <c r="A3" s="28" t="inlineStr">
        <is>
          <t>KPI 項目</t>
        </is>
      </c>
      <c r="B3" s="28" t="inlineStr">
        <is>
          <t>一月</t>
        </is>
      </c>
      <c r="C3" s="28" t="inlineStr">
        <is>
          <t>二月</t>
        </is>
      </c>
      <c r="D3" s="28" t="inlineStr">
        <is>
          <t>三月</t>
        </is>
      </c>
      <c r="E3" s="28" t="inlineStr">
        <is>
          <t>四月</t>
        </is>
      </c>
      <c r="F3" s="28" t="inlineStr">
        <is>
          <t>五月</t>
        </is>
      </c>
      <c r="G3" s="28" t="inlineStr">
        <is>
          <t>六月</t>
        </is>
      </c>
      <c r="H3" s="28" t="inlineStr">
        <is>
          <t>七月</t>
        </is>
      </c>
      <c r="I3" s="28" t="inlineStr">
        <is>
          <t>八月</t>
        </is>
      </c>
      <c r="J3" s="28" t="inlineStr">
        <is>
          <t>九月</t>
        </is>
      </c>
      <c r="K3" s="28" t="inlineStr">
        <is>
          <t>十月</t>
        </is>
      </c>
      <c r="L3" s="28" t="inlineStr">
        <is>
          <t>十一月</t>
        </is>
      </c>
      <c r="M3" s="28" t="inlineStr">
        <is>
          <t>十二月</t>
        </is>
      </c>
      <c r="N3" s="28" t="inlineStr">
        <is>
          <t>年度目標</t>
        </is>
      </c>
    </row>
    <row r="4" ht="22" customHeight="1">
      <c r="A4" s="29" t="inlineStr">
        <is>
          <t>KR1：付費訂閱人數（月底）</t>
        </is>
      </c>
      <c r="B4" s="38" t="n">
        <v>0</v>
      </c>
      <c r="C4" s="38" t="n">
        <v>0</v>
      </c>
      <c r="D4" s="38" t="n">
        <v>0</v>
      </c>
      <c r="E4" s="14" t="n">
        <v>20</v>
      </c>
      <c r="F4" s="14" t="n">
        <v>40</v>
      </c>
      <c r="G4" s="14" t="n">
        <v>65</v>
      </c>
      <c r="H4" s="14" t="n">
        <v>90</v>
      </c>
      <c r="I4" s="14" t="n">
        <v>120</v>
      </c>
      <c r="J4" s="14" t="n">
        <v>145</v>
      </c>
      <c r="K4" s="14" t="n">
        <v>165</v>
      </c>
      <c r="L4" s="14" t="n">
        <v>180</v>
      </c>
      <c r="M4" s="14" t="n">
        <v>200</v>
      </c>
      <c r="N4" s="33" t="n">
        <v>200</v>
      </c>
    </row>
    <row r="5" ht="22" customHeight="1">
      <c r="A5" s="32" t="inlineStr">
        <is>
          <t xml:space="preserve">  ↳ 月新增付費訂閱</t>
        </is>
      </c>
      <c r="B5" s="38" t="n">
        <v>0</v>
      </c>
      <c r="C5" s="38" t="n">
        <v>0</v>
      </c>
      <c r="D5" s="38" t="n">
        <v>0</v>
      </c>
      <c r="E5" s="14" t="n">
        <v>20</v>
      </c>
      <c r="F5" s="14" t="n">
        <v>20</v>
      </c>
      <c r="G5" s="14" t="n">
        <v>25</v>
      </c>
      <c r="H5" s="14" t="n">
        <v>25</v>
      </c>
      <c r="I5" s="14" t="n">
        <v>30</v>
      </c>
      <c r="J5" s="14" t="n">
        <v>25</v>
      </c>
      <c r="K5" s="14" t="n">
        <v>20</v>
      </c>
      <c r="L5" s="14" t="n">
        <v>15</v>
      </c>
      <c r="M5" s="14" t="n">
        <v>20</v>
      </c>
      <c r="N5" s="33">
        <f>SUM(B5:M5)</f>
        <v/>
      </c>
    </row>
    <row r="6" ht="22" customHeight="1">
      <c r="A6" s="32" t="inlineStr">
        <is>
          <t xml:space="preserve">  ↳ 月訂閱收入（NT$）</t>
        </is>
      </c>
      <c r="B6" s="38" t="n">
        <v>0</v>
      </c>
      <c r="C6" s="38" t="n">
        <v>0</v>
      </c>
      <c r="D6" s="38" t="n">
        <v>0</v>
      </c>
      <c r="E6" s="9" t="n">
        <v>5000</v>
      </c>
      <c r="F6" s="9" t="n">
        <v>10000</v>
      </c>
      <c r="G6" s="9" t="n">
        <v>16250</v>
      </c>
      <c r="H6" s="9" t="n">
        <v>22500</v>
      </c>
      <c r="I6" s="9" t="n">
        <v>30000</v>
      </c>
      <c r="J6" s="9" t="n">
        <v>36250</v>
      </c>
      <c r="K6" s="9" t="n">
        <v>41250</v>
      </c>
      <c r="L6" s="9" t="n">
        <v>45000</v>
      </c>
      <c r="M6" s="9" t="n">
        <v>50000</v>
      </c>
      <c r="N6" s="31" t="n">
        <v>50000</v>
      </c>
    </row>
    <row r="7" ht="22" customHeight="1">
      <c r="A7" s="32" t="inlineStr">
        <is>
          <t xml:space="preserve">  ↳ 退訂率(%)</t>
        </is>
      </c>
      <c r="B7" s="38" t="n">
        <v>0</v>
      </c>
      <c r="C7" s="38" t="n">
        <v>0</v>
      </c>
      <c r="D7" s="38" t="n">
        <v>0</v>
      </c>
      <c r="E7" s="14" t="n">
        <v>5</v>
      </c>
      <c r="F7" s="14" t="n">
        <v>5</v>
      </c>
      <c r="G7" s="14" t="n">
        <v>5</v>
      </c>
      <c r="H7" s="14" t="n">
        <v>4</v>
      </c>
      <c r="I7" s="14" t="n">
        <v>4</v>
      </c>
      <c r="J7" s="14" t="n">
        <v>4</v>
      </c>
      <c r="K7" s="14" t="n">
        <v>3</v>
      </c>
      <c r="L7" s="14" t="n">
        <v>3</v>
      </c>
      <c r="M7" s="14" t="n">
        <v>3</v>
      </c>
      <c r="N7" s="33" t="n">
        <v>3</v>
      </c>
    </row>
    <row r="8" ht="22" customHeight="1">
      <c r="A8" s="29" t="inlineStr">
        <is>
          <t>KR2：線上課程累計收入（NT$）</t>
        </is>
      </c>
      <c r="B8" s="38" t="n">
        <v>0</v>
      </c>
      <c r="C8" s="38" t="n">
        <v>0</v>
      </c>
      <c r="D8" s="38" t="n">
        <v>0</v>
      </c>
      <c r="E8" s="14" t="n">
        <v>0</v>
      </c>
      <c r="F8" s="9" t="n">
        <v>15000</v>
      </c>
      <c r="G8" s="9" t="n">
        <v>40000</v>
      </c>
      <c r="H8" s="9" t="n">
        <v>75000</v>
      </c>
      <c r="I8" s="9" t="n">
        <v>110000</v>
      </c>
      <c r="J8" s="9" t="n">
        <v>150000</v>
      </c>
      <c r="K8" s="9" t="n">
        <v>200000</v>
      </c>
      <c r="L8" s="9" t="n">
        <v>250000</v>
      </c>
      <c r="M8" s="9" t="n">
        <v>300000</v>
      </c>
      <c r="N8" s="31" t="n">
        <v>300000</v>
      </c>
    </row>
    <row r="9" ht="22" customHeight="1">
      <c r="A9" s="32" t="inlineStr">
        <is>
          <t xml:space="preserve">  ↳ 課程1評分（5分制）</t>
        </is>
      </c>
      <c r="B9" s="38" t="n">
        <v>0</v>
      </c>
      <c r="C9" s="38" t="n">
        <v>0</v>
      </c>
      <c r="D9" s="38" t="n">
        <v>0</v>
      </c>
      <c r="E9" s="14" t="n">
        <v>0</v>
      </c>
      <c r="F9" s="14" t="n">
        <v>0</v>
      </c>
      <c r="G9" s="35" t="n">
        <v>4.2</v>
      </c>
      <c r="H9" s="35" t="n">
        <v>4.3</v>
      </c>
      <c r="I9" s="35" t="n">
        <v>4.3</v>
      </c>
      <c r="J9" s="35" t="n">
        <v>4.4</v>
      </c>
      <c r="K9" s="35" t="n">
        <v>4.4</v>
      </c>
      <c r="L9" s="35" t="n">
        <v>4.5</v>
      </c>
      <c r="M9" s="35" t="n">
        <v>4.5</v>
      </c>
      <c r="N9" s="33" t="n">
        <v>4.5</v>
      </c>
    </row>
    <row r="10" ht="22" customHeight="1">
      <c r="A10" s="32" t="inlineStr">
        <is>
          <t xml:space="preserve">  ↳ 品牌合作收入（NT$）</t>
        </is>
      </c>
      <c r="B10" s="38" t="n">
        <v>0</v>
      </c>
      <c r="C10" s="38" t="n">
        <v>0</v>
      </c>
      <c r="D10" s="38" t="n">
        <v>0</v>
      </c>
      <c r="E10" s="14" t="n">
        <v>0</v>
      </c>
      <c r="F10" s="14" t="n">
        <v>0</v>
      </c>
      <c r="G10" s="9" t="n">
        <v>10000</v>
      </c>
      <c r="H10" s="9" t="n">
        <v>10000</v>
      </c>
      <c r="I10" s="9" t="n">
        <v>15000</v>
      </c>
      <c r="J10" s="9" t="n">
        <v>15000</v>
      </c>
      <c r="K10" s="9" t="n">
        <v>20000</v>
      </c>
      <c r="L10" s="9" t="n">
        <v>20000</v>
      </c>
      <c r="M10" s="9" t="n">
        <v>25000</v>
      </c>
      <c r="N10" s="31" t="n">
        <v>115000</v>
      </c>
    </row>
    <row r="11" ht="22" customHeight="1">
      <c r="A11" s="32" t="inlineStr">
        <is>
          <t xml:space="preserve">  ↳ 品牌合作累計件數</t>
        </is>
      </c>
      <c r="B11" s="38" t="n">
        <v>0</v>
      </c>
      <c r="C11" s="38" t="n">
        <v>0</v>
      </c>
      <c r="D11" s="38" t="n">
        <v>0</v>
      </c>
      <c r="E11" s="14" t="n">
        <v>0</v>
      </c>
      <c r="F11" s="14" t="n">
        <v>0</v>
      </c>
      <c r="G11" s="14" t="n">
        <v>1</v>
      </c>
      <c r="H11" s="14" t="n">
        <v>2</v>
      </c>
      <c r="I11" s="14" t="n">
        <v>3</v>
      </c>
      <c r="J11" s="14" t="n">
        <v>3</v>
      </c>
      <c r="K11" s="14" t="n">
        <v>4</v>
      </c>
      <c r="L11" s="14" t="n">
        <v>4</v>
      </c>
      <c r="M11" s="14" t="n">
        <v>5</v>
      </c>
      <c r="N11" s="33" t="n">
        <v>5</v>
      </c>
    </row>
    <row r="12" ht="22" customHeight="1">
      <c r="A12" s="29" t="inlineStr">
        <is>
          <t>KR3：社群活躍成員數</t>
        </is>
      </c>
      <c r="B12" s="38" t="n">
        <v>0</v>
      </c>
      <c r="C12" s="38" t="n">
        <v>0</v>
      </c>
      <c r="D12" s="38" t="n">
        <v>0</v>
      </c>
      <c r="E12" s="14" t="n">
        <v>0</v>
      </c>
      <c r="F12" s="14" t="n">
        <v>50</v>
      </c>
      <c r="G12" s="14" t="n">
        <v>100</v>
      </c>
      <c r="H12" s="14" t="n">
        <v>180</v>
      </c>
      <c r="I12" s="14" t="n">
        <v>260</v>
      </c>
      <c r="J12" s="14" t="n">
        <v>340</v>
      </c>
      <c r="K12" s="14" t="n">
        <v>400</v>
      </c>
      <c r="L12" s="14" t="n">
        <v>460</v>
      </c>
      <c r="M12" s="14" t="n">
        <v>500</v>
      </c>
      <c r="N12" s="33" t="n">
        <v>500</v>
      </c>
    </row>
    <row r="13" ht="22" customHeight="1">
      <c r="A13" s="32" t="inlineStr">
        <is>
          <t xml:space="preserve">  ↳ Discord 月活躍用戶</t>
        </is>
      </c>
      <c r="B13" s="38" t="n">
        <v>0</v>
      </c>
      <c r="C13" s="38" t="n">
        <v>0</v>
      </c>
      <c r="D13" s="38" t="n">
        <v>0</v>
      </c>
      <c r="E13" s="14" t="n">
        <v>0</v>
      </c>
      <c r="F13" s="14" t="n">
        <v>30</v>
      </c>
      <c r="G13" s="14" t="n">
        <v>60</v>
      </c>
      <c r="H13" s="14" t="n">
        <v>110</v>
      </c>
      <c r="I13" s="14" t="n">
        <v>160</v>
      </c>
      <c r="J13" s="14" t="n">
        <v>210</v>
      </c>
      <c r="K13" s="14" t="n">
        <v>250</v>
      </c>
      <c r="L13" s="14" t="n">
        <v>290</v>
      </c>
      <c r="M13" s="14" t="n">
        <v>320</v>
      </c>
      <c r="N13" s="33" t="n">
        <v>320</v>
      </c>
    </row>
    <row r="14" ht="22" customHeight="1">
      <c r="A14" s="32" t="inlineStr">
        <is>
          <t xml:space="preserve">  ↳ 月均互動次數</t>
        </is>
      </c>
      <c r="B14" s="38" t="n">
        <v>0</v>
      </c>
      <c r="C14" s="38" t="n">
        <v>0</v>
      </c>
      <c r="D14" s="38" t="n">
        <v>0</v>
      </c>
      <c r="E14" s="14" t="n">
        <v>0</v>
      </c>
      <c r="F14" s="14" t="n">
        <v>40</v>
      </c>
      <c r="G14" s="14" t="n">
        <v>80</v>
      </c>
      <c r="H14" s="14" t="n">
        <v>120</v>
      </c>
      <c r="I14" s="14" t="n">
        <v>160</v>
      </c>
      <c r="J14" s="14" t="n">
        <v>180</v>
      </c>
      <c r="K14" s="14" t="n">
        <v>200</v>
      </c>
      <c r="L14" s="14" t="n">
        <v>210</v>
      </c>
      <c r="M14" s="14" t="n">
        <v>220</v>
      </c>
      <c r="N14" s="33" t="n">
        <v>220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40" customHeight="1">
      <c r="A1" s="39" t="inlineStr">
        <is>
          <t>OBJ3：完成 AI 自動化內容生產系統　·　月度追蹤</t>
        </is>
      </c>
    </row>
    <row r="2" ht="22" customHeight="1">
      <c r="A2" s="40" t="inlineStr">
        <is>
          <t xml:space="preserve">　KR1: Prompt SOP ≥12個　|　KR2: 月報人工時數≤30分鐘　|　KR3: 週輸出≥5件，製作時間↓40%</t>
        </is>
      </c>
    </row>
    <row r="3">
      <c r="A3" s="28" t="inlineStr">
        <is>
          <t>KPI 項目</t>
        </is>
      </c>
      <c r="B3" s="28" t="inlineStr">
        <is>
          <t>一月</t>
        </is>
      </c>
      <c r="C3" s="28" t="inlineStr">
        <is>
          <t>二月</t>
        </is>
      </c>
      <c r="D3" s="28" t="inlineStr">
        <is>
          <t>三月</t>
        </is>
      </c>
      <c r="E3" s="28" t="inlineStr">
        <is>
          <t>四月</t>
        </is>
      </c>
      <c r="F3" s="28" t="inlineStr">
        <is>
          <t>五月</t>
        </is>
      </c>
      <c r="G3" s="28" t="inlineStr">
        <is>
          <t>六月</t>
        </is>
      </c>
      <c r="H3" s="28" t="inlineStr">
        <is>
          <t>七月</t>
        </is>
      </c>
      <c r="I3" s="28" t="inlineStr">
        <is>
          <t>八月</t>
        </is>
      </c>
      <c r="J3" s="28" t="inlineStr">
        <is>
          <t>九月</t>
        </is>
      </c>
      <c r="K3" s="28" t="inlineStr">
        <is>
          <t>十月</t>
        </is>
      </c>
      <c r="L3" s="28" t="inlineStr">
        <is>
          <t>十一月</t>
        </is>
      </c>
      <c r="M3" s="28" t="inlineStr">
        <is>
          <t>十二月</t>
        </is>
      </c>
      <c r="N3" s="28" t="inlineStr">
        <is>
          <t>年度目標</t>
        </is>
      </c>
    </row>
    <row r="4" ht="22" customHeight="1">
      <c r="A4" s="29" t="inlineStr">
        <is>
          <t>KR1：Prompt SOP 累計數（件）</t>
        </is>
      </c>
      <c r="B4" s="41" t="n">
        <v>2</v>
      </c>
      <c r="C4" s="41" t="n">
        <v>4</v>
      </c>
      <c r="D4" s="41" t="n">
        <v>6</v>
      </c>
      <c r="E4" s="14" t="n">
        <v>8</v>
      </c>
      <c r="F4" s="14" t="n">
        <v>9</v>
      </c>
      <c r="G4" s="14" t="n">
        <v>10</v>
      </c>
      <c r="H4" s="14" t="n">
        <v>10</v>
      </c>
      <c r="I4" s="14" t="n">
        <v>11</v>
      </c>
      <c r="J4" s="14" t="n">
        <v>11</v>
      </c>
      <c r="K4" s="14" t="n">
        <v>12</v>
      </c>
      <c r="L4" s="14" t="n">
        <v>12</v>
      </c>
      <c r="M4" s="14" t="n">
        <v>12</v>
      </c>
      <c r="N4" s="33" t="n">
        <v>12</v>
      </c>
    </row>
    <row r="5" ht="22" customHeight="1">
      <c r="A5" s="32" t="inlineStr">
        <is>
          <t xml:space="preserve">  ↳ 本月新增 Prompt 模板</t>
        </is>
      </c>
      <c r="B5" s="41" t="n">
        <v>2</v>
      </c>
      <c r="C5" s="41" t="n">
        <v>2</v>
      </c>
      <c r="D5" s="41" t="n">
        <v>2</v>
      </c>
      <c r="E5" s="14" t="n">
        <v>2</v>
      </c>
      <c r="F5" s="14" t="n">
        <v>1</v>
      </c>
      <c r="G5" s="14" t="n">
        <v>1</v>
      </c>
      <c r="H5" s="14" t="n">
        <v>0</v>
      </c>
      <c r="I5" s="14" t="n">
        <v>1</v>
      </c>
      <c r="J5" s="14" t="n">
        <v>0</v>
      </c>
      <c r="K5" s="14" t="n">
        <v>1</v>
      </c>
      <c r="L5" s="14" t="n">
        <v>0</v>
      </c>
      <c r="M5" s="14" t="n">
        <v>0</v>
      </c>
      <c r="N5" s="33">
        <f>SUM(B5:M5)</f>
        <v/>
      </c>
    </row>
    <row r="6" ht="22" customHeight="1">
      <c r="A6" s="32" t="inlineStr">
        <is>
          <t xml:space="preserve">  ↳ SOP 測試驗證通過率(%)</t>
        </is>
      </c>
      <c r="B6" s="41" t="n">
        <v>80</v>
      </c>
      <c r="C6" s="41" t="n">
        <v>85</v>
      </c>
      <c r="D6" s="41" t="n">
        <v>88</v>
      </c>
      <c r="E6" s="14" t="n">
        <v>90</v>
      </c>
      <c r="F6" s="14" t="n">
        <v>90</v>
      </c>
      <c r="G6" s="14" t="n">
        <v>92</v>
      </c>
      <c r="H6" s="14" t="n">
        <v>92</v>
      </c>
      <c r="I6" s="14" t="n">
        <v>93</v>
      </c>
      <c r="J6" s="14" t="n">
        <v>93</v>
      </c>
      <c r="K6" s="14" t="n">
        <v>95</v>
      </c>
      <c r="L6" s="14" t="n">
        <v>95</v>
      </c>
      <c r="M6" s="14" t="n">
        <v>95</v>
      </c>
      <c r="N6" s="33" t="n">
        <v>95</v>
      </c>
    </row>
    <row r="7" ht="22" customHeight="1">
      <c r="A7" s="29" t="inlineStr">
        <is>
          <t>KR2：月報製作人工時數（分鐘）</t>
        </is>
      </c>
      <c r="B7" s="41" t="n">
        <v>90</v>
      </c>
      <c r="C7" s="41" t="n">
        <v>80</v>
      </c>
      <c r="D7" s="41" t="n">
        <v>70</v>
      </c>
      <c r="E7" s="14" t="n">
        <v>60</v>
      </c>
      <c r="F7" s="14" t="n">
        <v>55</v>
      </c>
      <c r="G7" s="14" t="n">
        <v>50</v>
      </c>
      <c r="H7" s="14" t="n">
        <v>45</v>
      </c>
      <c r="I7" s="14" t="n">
        <v>40</v>
      </c>
      <c r="J7" s="14" t="n">
        <v>40</v>
      </c>
      <c r="K7" s="14" t="n">
        <v>35</v>
      </c>
      <c r="L7" s="14" t="n">
        <v>32</v>
      </c>
      <c r="M7" s="14" t="n">
        <v>30</v>
      </c>
      <c r="N7" s="33" t="n">
        <v>30</v>
      </c>
    </row>
    <row r="8" ht="22" customHeight="1">
      <c r="A8" s="32" t="inlineStr">
        <is>
          <t xml:space="preserve">  ↳ DeepResearch 自動摘要數</t>
        </is>
      </c>
      <c r="B8" s="41" t="n">
        <v>0</v>
      </c>
      <c r="C8" s="41" t="n">
        <v>2</v>
      </c>
      <c r="D8" s="41" t="n">
        <v>3</v>
      </c>
      <c r="E8" s="14" t="n">
        <v>4</v>
      </c>
      <c r="F8" s="14" t="n">
        <v>4</v>
      </c>
      <c r="G8" s="14" t="n">
        <v>5</v>
      </c>
      <c r="H8" s="14" t="n">
        <v>5</v>
      </c>
      <c r="I8" s="14" t="n">
        <v>5</v>
      </c>
      <c r="J8" s="14" t="n">
        <v>5</v>
      </c>
      <c r="K8" s="14" t="n">
        <v>5</v>
      </c>
      <c r="L8" s="14" t="n">
        <v>5</v>
      </c>
      <c r="M8" s="14" t="n">
        <v>5</v>
      </c>
      <c r="N8" s="33" t="n">
        <v>5</v>
      </c>
    </row>
    <row r="9" ht="22" customHeight="1">
      <c r="A9" s="32" t="inlineStr">
        <is>
          <t xml:space="preserve">  ↳ 月報數據準確率(%)</t>
        </is>
      </c>
      <c r="B9" s="41" t="n">
        <v>0</v>
      </c>
      <c r="C9" s="41" t="n">
        <v>80</v>
      </c>
      <c r="D9" s="41" t="n">
        <v>85</v>
      </c>
      <c r="E9" s="14" t="n">
        <v>88</v>
      </c>
      <c r="F9" s="14" t="n">
        <v>90</v>
      </c>
      <c r="G9" s="14" t="n">
        <v>92</v>
      </c>
      <c r="H9" s="14" t="n">
        <v>93</v>
      </c>
      <c r="I9" s="14" t="n">
        <v>94</v>
      </c>
      <c r="J9" s="14" t="n">
        <v>95</v>
      </c>
      <c r="K9" s="14" t="n">
        <v>95</v>
      </c>
      <c r="L9" s="14" t="n">
        <v>96</v>
      </c>
      <c r="M9" s="14" t="n">
        <v>96</v>
      </c>
      <c r="N9" s="33" t="n">
        <v>96</v>
      </c>
    </row>
    <row r="10" ht="22" customHeight="1">
      <c r="A10" s="29" t="inlineStr">
        <is>
          <t>KR3：週均內容輸出量（件）</t>
        </is>
      </c>
      <c r="B10" s="42" t="n">
        <v>1.5</v>
      </c>
      <c r="C10" s="41" t="n">
        <v>2</v>
      </c>
      <c r="D10" s="42" t="n">
        <v>2.5</v>
      </c>
      <c r="E10" s="14" t="n">
        <v>3</v>
      </c>
      <c r="F10" s="35" t="n">
        <v>3.5</v>
      </c>
      <c r="G10" s="14" t="n">
        <v>4</v>
      </c>
      <c r="H10" s="14" t="n">
        <v>4</v>
      </c>
      <c r="I10" s="35" t="n">
        <v>4.5</v>
      </c>
      <c r="J10" s="35" t="n">
        <v>4.5</v>
      </c>
      <c r="K10" s="14" t="n">
        <v>5</v>
      </c>
      <c r="L10" s="14" t="n">
        <v>5</v>
      </c>
      <c r="M10" s="14" t="n">
        <v>5</v>
      </c>
      <c r="N10" s="33" t="n">
        <v>5</v>
      </c>
    </row>
    <row r="11" ht="22" customHeight="1">
      <c r="A11" s="32" t="inlineStr">
        <is>
          <t xml:space="preserve">  ↳ 單件製作時間（小時）</t>
        </is>
      </c>
      <c r="B11" s="41" t="n">
        <v>10</v>
      </c>
      <c r="C11" s="41" t="n">
        <v>9</v>
      </c>
      <c r="D11" s="41" t="n">
        <v>8</v>
      </c>
      <c r="E11" s="14" t="n">
        <v>7</v>
      </c>
      <c r="F11" s="35" t="n">
        <v>6.5</v>
      </c>
      <c r="G11" s="14" t="n">
        <v>6</v>
      </c>
      <c r="H11" s="14" t="n">
        <v>6</v>
      </c>
      <c r="I11" s="35" t="n">
        <v>5.5</v>
      </c>
      <c r="J11" s="35" t="n">
        <v>5.5</v>
      </c>
      <c r="K11" s="14" t="n">
        <v>5</v>
      </c>
      <c r="L11" s="14" t="n">
        <v>5</v>
      </c>
      <c r="M11" s="35" t="n">
        <v>4.5</v>
      </c>
      <c r="N11" s="43" t="n">
        <v>4.5</v>
      </c>
    </row>
    <row r="12" ht="22" customHeight="1">
      <c r="A12" s="32" t="inlineStr">
        <is>
          <t xml:space="preserve">  ↳ 基準製作時間（小時）</t>
        </is>
      </c>
      <c r="B12" s="41" t="n">
        <v>10</v>
      </c>
      <c r="C12" s="41" t="n">
        <v>10</v>
      </c>
      <c r="D12" s="41" t="n">
        <v>10</v>
      </c>
      <c r="E12" s="14" t="n">
        <v>10</v>
      </c>
      <c r="F12" s="14" t="n">
        <v>10</v>
      </c>
      <c r="G12" s="14" t="n">
        <v>10</v>
      </c>
      <c r="H12" s="14" t="n">
        <v>10</v>
      </c>
      <c r="I12" s="14" t="n">
        <v>10</v>
      </c>
      <c r="J12" s="14" t="n">
        <v>10</v>
      </c>
      <c r="K12" s="14" t="n">
        <v>10</v>
      </c>
      <c r="L12" s="14" t="n">
        <v>10</v>
      </c>
      <c r="M12" s="14" t="n">
        <v>10</v>
      </c>
      <c r="N12" s="33" t="n">
        <v>10</v>
      </c>
    </row>
    <row r="13" ht="22" customHeight="1">
      <c r="A13" s="32" t="inlineStr">
        <is>
          <t xml:space="preserve">  ↳ AI輔助時間節省率(%)</t>
        </is>
      </c>
      <c r="B13" s="41" t="n">
        <v>0</v>
      </c>
      <c r="C13" s="41" t="n">
        <v>10</v>
      </c>
      <c r="D13" s="41" t="n">
        <v>20</v>
      </c>
      <c r="E13" s="14" t="n">
        <v>30</v>
      </c>
      <c r="F13" s="14" t="n">
        <v>35</v>
      </c>
      <c r="G13" s="14" t="n">
        <v>40</v>
      </c>
      <c r="H13" s="14" t="n">
        <v>40</v>
      </c>
      <c r="I13" s="14" t="n">
        <v>45</v>
      </c>
      <c r="J13" s="14" t="n">
        <v>45</v>
      </c>
      <c r="K13" s="14" t="n">
        <v>50</v>
      </c>
      <c r="L13" s="14" t="n">
        <v>50</v>
      </c>
      <c r="M13" s="14" t="n">
        <v>55</v>
      </c>
      <c r="N13" s="33" t="n">
        <v>55</v>
      </c>
    </row>
    <row r="14" ht="22" customHeight="1">
      <c r="A14" s="32" t="inlineStr">
        <is>
          <t>內容品質讀者評分（5分制）</t>
        </is>
      </c>
      <c r="B14" s="41" t="n">
        <v>0</v>
      </c>
      <c r="C14" s="41" t="n">
        <v>0</v>
      </c>
      <c r="D14" s="41" t="n">
        <v>4</v>
      </c>
      <c r="E14" s="35" t="n">
        <v>4.1</v>
      </c>
      <c r="F14" s="35" t="n">
        <v>4.2</v>
      </c>
      <c r="G14" s="35" t="n">
        <v>4.2</v>
      </c>
      <c r="H14" s="35" t="n">
        <v>4.3</v>
      </c>
      <c r="I14" s="35" t="n">
        <v>4.3</v>
      </c>
      <c r="J14" s="35" t="n">
        <v>4.4</v>
      </c>
      <c r="K14" s="35" t="n">
        <v>4.4</v>
      </c>
      <c r="L14" s="35" t="n">
        <v>4.5</v>
      </c>
      <c r="M14" s="35" t="n">
        <v>4.5</v>
      </c>
      <c r="N14" s="43" t="n">
        <v>4.5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 ht="48" customHeight="1">
      <c r="A1" s="44" t="inlineStr">
        <is>
          <t>BNotes 品牌健康度月報　·　自動化模板</t>
        </is>
      </c>
    </row>
    <row r="2" ht="22" customHeight="1">
      <c r="A2" s="45" t="inlineStr">
        <is>
          <t>使用說明：每月月底填入實際數據，Skywork DeepResearch 自動補充競品動態與市場摘要，人工審核時間目標 ≤ 30 分鐘</t>
        </is>
      </c>
    </row>
    <row r="3" ht="28" customHeight="1">
      <c r="A3" s="46" t="inlineStr">
        <is>
          <t>🗓️ 報告資訊</t>
        </is>
      </c>
    </row>
    <row r="4" ht="22" customHeight="1">
      <c r="A4" s="47" t="inlineStr"/>
      <c r="B4" s="48" t="inlineStr">
        <is>
          <t>報告月份</t>
        </is>
      </c>
      <c r="C4" s="49" t="inlineStr">
        <is>
          <t>[填入 YYYY-MM]</t>
        </is>
      </c>
      <c r="D4" s="14" t="inlineStr">
        <is>
          <t>—</t>
        </is>
      </c>
      <c r="E4" s="14" t="inlineStr">
        <is>
          <t>—</t>
        </is>
      </c>
      <c r="F4" s="50" t="inlineStr">
        <is>
          <t>每月月底填寫</t>
        </is>
      </c>
    </row>
    <row r="5" ht="22" customHeight="1">
      <c r="A5" s="47" t="inlineStr"/>
      <c r="B5" s="48" t="inlineStr">
        <is>
          <t>製作日期</t>
        </is>
      </c>
      <c r="C5" s="49" t="inlineStr">
        <is>
          <t>[填入日期]</t>
        </is>
      </c>
      <c r="D5" s="14" t="inlineStr">
        <is>
          <t>—</t>
        </is>
      </c>
      <c r="E5" s="14" t="inlineStr">
        <is>
          <t>—</t>
        </is>
      </c>
      <c r="F5" s="50" t="inlineStr">
        <is>
          <t>目標：月底最後一個工作日</t>
        </is>
      </c>
    </row>
    <row r="6" ht="22" customHeight="1">
      <c r="A6" s="47" t="inlineStr"/>
      <c r="B6" s="48" t="inlineStr">
        <is>
          <t>製作人工時數（分鐘）</t>
        </is>
      </c>
      <c r="C6" s="49" t="inlineStr"/>
      <c r="D6" s="14" t="inlineStr">
        <is>
          <t>30</t>
        </is>
      </c>
      <c r="E6" s="14" t="inlineStr"/>
      <c r="F6" s="50" t="inlineStr">
        <is>
          <t>超過需優化 Prompt</t>
        </is>
      </c>
    </row>
    <row r="8" ht="28" customHeight="1">
      <c r="A8" s="51" t="inlineStr">
        <is>
          <t>📊 Section 1：各平台數據回顧</t>
        </is>
      </c>
    </row>
    <row r="9" ht="22" customHeight="1">
      <c r="A9" s="47" t="inlineStr"/>
      <c r="B9" s="48" t="inlineStr">
        <is>
          <t>YouTube 月底訂閱總數</t>
        </is>
      </c>
      <c r="C9" s="49" t="inlineStr">
        <is>
          <t>[填入實際值]</t>
        </is>
      </c>
      <c r="D9" s="14" t="inlineStr"/>
      <c r="E9" s="14">
        <f>IFERROR(C9/D9,"—")</f>
        <v/>
      </c>
      <c r="F9" s="50" t="inlineStr"/>
    </row>
    <row r="10" ht="22" customHeight="1">
      <c r="A10" s="47" t="inlineStr"/>
      <c r="B10" s="48" t="inlineStr">
        <is>
          <t>YouTube 本月新增訂閱</t>
        </is>
      </c>
      <c r="C10" s="49" t="inlineStr">
        <is>
          <t>[填入實際值]</t>
        </is>
      </c>
      <c r="D10" s="14" t="inlineStr"/>
      <c r="E10" s="14">
        <f>IFERROR(C10/D10,"—")</f>
        <v/>
      </c>
      <c r="F10" s="50" t="inlineStr"/>
    </row>
    <row r="11" ht="22" customHeight="1">
      <c r="A11" s="47" t="inlineStr"/>
      <c r="B11" s="48" t="inlineStr">
        <is>
          <t>YouTube 影片平均完成率%</t>
        </is>
      </c>
      <c r="C11" s="49" t="inlineStr">
        <is>
          <t>[填入實際值]</t>
        </is>
      </c>
      <c r="D11" s="14" t="inlineStr"/>
      <c r="E11" s="14">
        <f>IFERROR(C11/D11,"—")</f>
        <v/>
      </c>
      <c r="F11" s="50" t="inlineStr"/>
    </row>
    <row r="12" ht="22" customHeight="1">
      <c r="A12" s="47" t="inlineStr"/>
      <c r="B12" s="48" t="inlineStr">
        <is>
          <t>Instagram 月底追蹤總數</t>
        </is>
      </c>
      <c r="C12" s="49" t="inlineStr">
        <is>
          <t>[填入實際值]</t>
        </is>
      </c>
      <c r="D12" s="14" t="inlineStr"/>
      <c r="E12" s="14">
        <f>IFERROR(C12/D12,"—")</f>
        <v/>
      </c>
      <c r="F12" s="50" t="inlineStr"/>
    </row>
    <row r="13" ht="22" customHeight="1">
      <c r="A13" s="47" t="inlineStr"/>
      <c r="B13" s="48" t="inlineStr">
        <is>
          <t>Instagram Reels 平均觸及率%</t>
        </is>
      </c>
      <c r="C13" s="49" t="inlineStr">
        <is>
          <t>[填入實際值]</t>
        </is>
      </c>
      <c r="D13" s="14" t="inlineStr"/>
      <c r="E13" s="14">
        <f>IFERROR(C13/D13,"—")</f>
        <v/>
      </c>
      <c r="F13" s="50" t="inlineStr"/>
    </row>
    <row r="14" ht="22" customHeight="1">
      <c r="A14" s="47" t="inlineStr"/>
      <c r="B14" s="48" t="inlineStr">
        <is>
          <t>Newsletter 月底訂閱總數</t>
        </is>
      </c>
      <c r="C14" s="49" t="inlineStr">
        <is>
          <t>[填入實際值]</t>
        </is>
      </c>
      <c r="D14" s="14" t="inlineStr"/>
      <c r="E14" s="14">
        <f>IFERROR(C14/D14,"—")</f>
        <v/>
      </c>
      <c r="F14" s="50" t="inlineStr"/>
    </row>
    <row r="15" ht="22" customHeight="1">
      <c r="A15" s="47" t="inlineStr"/>
      <c r="B15" s="48" t="inlineStr">
        <is>
          <t>Newsletter 本期開信率%</t>
        </is>
      </c>
      <c r="C15" s="49" t="inlineStr">
        <is>
          <t>[填入實際值]</t>
        </is>
      </c>
      <c r="D15" s="14" t="inlineStr"/>
      <c r="E15" s="14">
        <f>IFERROR(C15/D15,"—")</f>
        <v/>
      </c>
      <c r="F15" s="50" t="inlineStr"/>
    </row>
    <row r="16" ht="22" customHeight="1">
      <c r="A16" s="47" t="inlineStr"/>
      <c r="B16" s="48" t="inlineStr">
        <is>
          <t>Newsletter 本期點擊率%</t>
        </is>
      </c>
      <c r="C16" s="49" t="inlineStr">
        <is>
          <t>[填入實際值]</t>
        </is>
      </c>
      <c r="D16" s="14" t="inlineStr"/>
      <c r="E16" s="14">
        <f>IFERROR(C16/D16,"—")</f>
        <v/>
      </c>
      <c r="F16" s="50" t="inlineStr"/>
    </row>
    <row r="17" ht="22" customHeight="1">
      <c r="A17" s="47" t="inlineStr"/>
      <c r="B17" s="48" t="inlineStr">
        <is>
          <t>社群（Discord/LINE）活躍成員</t>
        </is>
      </c>
      <c r="C17" s="49" t="inlineStr">
        <is>
          <t>[填入實際值]</t>
        </is>
      </c>
      <c r="D17" s="14" t="inlineStr"/>
      <c r="E17" s="14">
        <f>IFERROR(C17/D17,"—")</f>
        <v/>
      </c>
      <c r="F17" s="50" t="inlineStr"/>
    </row>
    <row r="19" ht="28" customHeight="1">
      <c r="A19" s="52" t="inlineStr">
        <is>
          <t>🔍 Section 2：競品動態摘要（Skywork DeepResearch 自動生成）</t>
        </is>
      </c>
    </row>
    <row r="20" ht="22" customHeight="1">
      <c r="A20" s="47" t="inlineStr"/>
      <c r="B20" s="48" t="inlineStr">
        <is>
          <t>本月新進入台灣咖啡知識媒體競品</t>
        </is>
      </c>
      <c r="C20" s="49" t="inlineStr">
        <is>
          <t>[DeepResearch 自動填入]</t>
        </is>
      </c>
      <c r="D20" s="14" t="inlineStr">
        <is>
          <t>—</t>
        </is>
      </c>
      <c r="E20" s="14" t="inlineStr">
        <is>
          <t>—</t>
        </is>
      </c>
      <c r="F20" s="50" t="inlineStr">
        <is>
          <t>由AI摘要，人工確認</t>
        </is>
      </c>
    </row>
    <row r="21" ht="22" customHeight="1">
      <c r="A21" s="47" t="inlineStr"/>
      <c r="B21" s="48" t="inlineStr">
        <is>
          <t>James Hoffmann 本月台灣相關內容</t>
        </is>
      </c>
      <c r="C21" s="49" t="inlineStr">
        <is>
          <t>[DeepResearch 自動填入]</t>
        </is>
      </c>
      <c r="D21" s="14" t="inlineStr">
        <is>
          <t>—</t>
        </is>
      </c>
      <c r="E21" s="14" t="inlineStr">
        <is>
          <t>—</t>
        </is>
      </c>
      <c r="F21" s="50" t="inlineStr">
        <is>
          <t>由AI摘要，人工確認</t>
        </is>
      </c>
    </row>
    <row r="22" ht="22" customHeight="1">
      <c r="A22" s="47" t="inlineStr"/>
      <c r="B22" s="48" t="inlineStr">
        <is>
          <t>台灣標竿KOL（虎記/VVcafe）本月動態</t>
        </is>
      </c>
      <c r="C22" s="49" t="inlineStr">
        <is>
          <t>[DeepResearch 自動填入]</t>
        </is>
      </c>
      <c r="D22" s="14" t="inlineStr">
        <is>
          <t>—</t>
        </is>
      </c>
      <c r="E22" s="14" t="inlineStr">
        <is>
          <t>—</t>
        </is>
      </c>
      <c r="F22" s="50" t="inlineStr">
        <is>
          <t>由AI摘要，人工確認</t>
        </is>
      </c>
    </row>
    <row r="23" ht="22" customHeight="1">
      <c r="A23" s="47" t="inlineStr"/>
      <c r="B23" s="48" t="inlineStr">
        <is>
          <t>發現的潛在BNotes定位威脅</t>
        </is>
      </c>
      <c r="C23" s="49" t="inlineStr">
        <is>
          <t>[DeepResearch 自動填入]</t>
        </is>
      </c>
      <c r="D23" s="14" t="inlineStr">
        <is>
          <t>—</t>
        </is>
      </c>
      <c r="E23" s="14" t="inlineStr">
        <is>
          <t>—</t>
        </is>
      </c>
      <c r="F23" s="50" t="inlineStr">
        <is>
          <t>由AI摘要，人工確認</t>
        </is>
      </c>
    </row>
    <row r="24" ht="22" customHeight="1">
      <c r="A24" s="47" t="inlineStr"/>
      <c r="B24" s="48" t="inlineStr">
        <is>
          <t>競品最高互動內容主題（前3名）</t>
        </is>
      </c>
      <c r="C24" s="49" t="inlineStr">
        <is>
          <t>[DeepResearch 自動填入]</t>
        </is>
      </c>
      <c r="D24" s="14" t="inlineStr">
        <is>
          <t>—</t>
        </is>
      </c>
      <c r="E24" s="14" t="inlineStr">
        <is>
          <t>—</t>
        </is>
      </c>
      <c r="F24" s="50" t="inlineStr">
        <is>
          <t>由AI摘要，人工確認</t>
        </is>
      </c>
    </row>
    <row r="26" ht="28" customHeight="1">
      <c r="A26" s="53" t="inlineStr">
        <is>
          <t>🎯 Section 3：品牌定位健康度評估</t>
        </is>
      </c>
    </row>
    <row r="27" ht="22" customHeight="1">
      <c r="A27" s="47" t="inlineStr"/>
      <c r="B27" s="48" t="inlineStr">
        <is>
          <t>本月發布內容總件數</t>
        </is>
      </c>
      <c r="C27" s="49" t="inlineStr">
        <is>
          <t>[填入/AI生成]</t>
        </is>
      </c>
      <c r="D27" s="14" t="inlineStr">
        <is>
          <t>—</t>
        </is>
      </c>
      <c r="E27" s="14" t="inlineStr">
        <is>
          <t>—</t>
        </is>
      </c>
      <c r="F27" s="50" t="inlineStr"/>
    </row>
    <row r="28" ht="22" customHeight="1">
      <c r="A28" s="47" t="inlineStr"/>
      <c r="B28" s="48" t="inlineStr">
        <is>
          <t>符合「科學嚴謹×台灣視角」定位比例%</t>
        </is>
      </c>
      <c r="C28" s="49" t="inlineStr">
        <is>
          <t>[填入/AI生成]</t>
        </is>
      </c>
      <c r="D28" s="14" t="inlineStr">
        <is>
          <t>—</t>
        </is>
      </c>
      <c r="E28" s="14" t="inlineStr">
        <is>
          <t>—</t>
        </is>
      </c>
      <c r="F28" s="50" t="inlineStr">
        <is>
          <t>目標≥80%</t>
        </is>
      </c>
    </row>
    <row r="29" ht="22" customHeight="1">
      <c r="A29" s="47" t="inlineStr"/>
      <c r="B29" s="48" t="inlineStr">
        <is>
          <t>偏離核心定位的內容件數</t>
        </is>
      </c>
      <c r="C29" s="49" t="inlineStr">
        <is>
          <t>[填入/AI生成]</t>
        </is>
      </c>
      <c r="D29" s="14" t="inlineStr">
        <is>
          <t>—</t>
        </is>
      </c>
      <c r="E29" s="14" t="inlineStr">
        <is>
          <t>—</t>
        </is>
      </c>
      <c r="F29" s="50" t="inlineStr">
        <is>
          <t>目標0件</t>
        </is>
      </c>
    </row>
    <row r="30" ht="22" customHeight="1">
      <c r="A30" s="47" t="inlineStr"/>
      <c r="B30" s="48" t="inlineStr">
        <is>
          <t>受眾正向關鍵詞 TOP3</t>
        </is>
      </c>
      <c r="C30" s="49" t="inlineStr">
        <is>
          <t>[填入/AI生成]</t>
        </is>
      </c>
      <c r="D30" s="14" t="inlineStr">
        <is>
          <t>—</t>
        </is>
      </c>
      <c r="E30" s="14" t="inlineStr">
        <is>
          <t>—</t>
        </is>
      </c>
      <c r="F30" s="50" t="inlineStr">
        <is>
          <t>從留言/回饋萃取</t>
        </is>
      </c>
    </row>
    <row r="31" ht="22" customHeight="1">
      <c r="A31" s="47" t="inlineStr"/>
      <c r="B31" s="48" t="inlineStr">
        <is>
          <t>受眾負向關鍵詞 TOP3</t>
        </is>
      </c>
      <c r="C31" s="49" t="inlineStr">
        <is>
          <t>[填入/AI生成]</t>
        </is>
      </c>
      <c r="D31" s="14" t="inlineStr">
        <is>
          <t>—</t>
        </is>
      </c>
      <c r="E31" s="14" t="inlineStr">
        <is>
          <t>—</t>
        </is>
      </c>
      <c r="F31" s="50" t="inlineStr">
        <is>
          <t>需立即關注並回應</t>
        </is>
      </c>
    </row>
    <row r="32" ht="22" customHeight="1">
      <c r="A32" s="47" t="inlineStr"/>
      <c r="B32" s="48" t="inlineStr">
        <is>
          <t>本月品牌定位一致性評分（1-5）</t>
        </is>
      </c>
      <c r="C32" s="49" t="inlineStr">
        <is>
          <t>[填入/AI生成]</t>
        </is>
      </c>
      <c r="D32" s="14" t="inlineStr">
        <is>
          <t>—</t>
        </is>
      </c>
      <c r="E32" s="14" t="inlineStr">
        <is>
          <t>—</t>
        </is>
      </c>
      <c r="F32" s="50" t="inlineStr">
        <is>
          <t>目標≥4</t>
        </is>
      </c>
    </row>
    <row r="34" ht="28" customHeight="1">
      <c r="A34" s="54" t="inlineStr">
        <is>
          <t>🚀 Section 4：下月優先行動</t>
        </is>
      </c>
    </row>
    <row r="35" ht="24" customHeight="1">
      <c r="A35" s="55" t="n"/>
      <c r="B35" s="48" t="inlineStr">
        <is>
          <t>優先選題 1（AI建議）</t>
        </is>
      </c>
      <c r="C35" s="56" t="inlineStr">
        <is>
          <t>[填入/AI生成建議]</t>
        </is>
      </c>
    </row>
    <row r="36" ht="24" customHeight="1">
      <c r="A36" s="55" t="n"/>
      <c r="B36" s="48" t="inlineStr">
        <is>
          <t>優先選題 2（AI建議）</t>
        </is>
      </c>
      <c r="C36" s="56" t="inlineStr">
        <is>
          <t>[填入/AI生成建議]</t>
        </is>
      </c>
    </row>
    <row r="37" ht="24" customHeight="1">
      <c r="A37" s="55" t="n"/>
      <c r="B37" s="48" t="inlineStr">
        <is>
          <t>優先選題 3（AI建議）</t>
        </is>
      </c>
      <c r="C37" s="56" t="inlineStr">
        <is>
          <t>[填入/AI生成建議]</t>
        </is>
      </c>
    </row>
    <row r="38" ht="24" customHeight="1">
      <c r="A38" s="55" t="n"/>
      <c r="B38" s="48" t="inlineStr">
        <is>
          <t>需修正的品牌行為（1個）</t>
        </is>
      </c>
      <c r="C38" s="56" t="inlineStr">
        <is>
          <t>[填入/AI生成建議]</t>
        </is>
      </c>
    </row>
    <row r="39" ht="24" customHeight="1">
      <c r="A39" s="55" t="n"/>
      <c r="B39" s="48" t="inlineStr">
        <is>
          <t>值得測試的新內容格式（1個）</t>
        </is>
      </c>
      <c r="C39" s="56" t="inlineStr">
        <is>
          <t>[填入/AI生成建議]</t>
        </is>
      </c>
    </row>
    <row r="40" ht="24" customHeight="1">
      <c r="A40" s="55" t="n"/>
      <c r="B40" s="48" t="inlineStr">
        <is>
          <t>本月Skywork Prompt 優化建議</t>
        </is>
      </c>
      <c r="C40" s="56" t="inlineStr">
        <is>
          <t>[填入/AI生成建議]</t>
        </is>
      </c>
    </row>
  </sheetData>
  <mergeCells count="13">
    <mergeCell ref="A2:F2"/>
    <mergeCell ref="C40:F40"/>
    <mergeCell ref="C39:F39"/>
    <mergeCell ref="A19:F19"/>
    <mergeCell ref="C35:F35"/>
    <mergeCell ref="A1:F1"/>
    <mergeCell ref="A8:F8"/>
    <mergeCell ref="A26:F26"/>
    <mergeCell ref="C38:F38"/>
    <mergeCell ref="A34:F34"/>
    <mergeCell ref="A3:F3"/>
    <mergeCell ref="C37:F37"/>
    <mergeCell ref="C36:F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38" customWidth="1" min="4" max="4"/>
    <col width="28" customWidth="1" min="5" max="5"/>
    <col width="28" customWidth="1" min="6" max="6"/>
    <col width="14" customWidth="1" min="7" max="7"/>
  </cols>
  <sheetData>
    <row r="1" ht="40" customHeight="1">
      <c r="A1" s="57" t="inlineStr">
        <is>
          <t>BNotes 2026 季度品牌校準複盤日曆</t>
        </is>
      </c>
    </row>
    <row r="2">
      <c r="A2" s="58" t="inlineStr">
        <is>
          <t>季度</t>
        </is>
      </c>
      <c r="B2" s="58" t="inlineStr">
        <is>
          <t>複盤時間</t>
        </is>
      </c>
      <c r="C2" s="58" t="inlineStr">
        <is>
          <t>主題</t>
        </is>
      </c>
      <c r="D2" s="58" t="inlineStr">
        <is>
          <t>核心任務</t>
        </is>
      </c>
      <c r="E2" s="58" t="inlineStr">
        <is>
          <t>使用Skywork工具</t>
        </is>
      </c>
      <c r="F2" s="58" t="inlineStr">
        <is>
          <t>產出物</t>
        </is>
      </c>
      <c r="G2" s="58" t="inlineStr">
        <is>
          <t>負責人/狀態</t>
        </is>
      </c>
    </row>
    <row r="3" ht="80" customHeight="1">
      <c r="A3" s="59" t="inlineStr">
        <is>
          <t>Q1</t>
        </is>
      </c>
      <c r="B3" s="60" t="inlineStr">
        <is>
          <t>2026/04/10</t>
        </is>
      </c>
      <c r="C3" s="61" t="inlineStr">
        <is>
          <t>基礎建立期校準</t>
        </is>
      </c>
      <c r="D3" s="62" t="inlineStr">
        <is>
          <t>1. 與年初定位聲明逐條比對
2. TOV指南符合度審核
3. Q1 OKR達成率評估</t>
        </is>
      </c>
      <c r="E3" s="62" t="inlineStr">
        <is>
          <t>DeepResearch: 台灣精品咖啡2026 Q1趨勢
Skywork月報模板：3月份完整版</t>
        </is>
      </c>
      <c r="F3" s="62" t="inlineStr">
        <is>
          <t>Q2內容日曆草案
1-3個定位微調建議</t>
        </is>
      </c>
      <c r="G3" s="63" t="inlineStr">
        <is>
          <t>BNotes創辦人｜計劃中</t>
        </is>
      </c>
    </row>
    <row r="4" ht="80" customHeight="1">
      <c r="A4" s="64" t="inlineStr">
        <is>
          <t>Q2</t>
        </is>
      </c>
      <c r="B4" s="65" t="inlineStr">
        <is>
          <t>2026/07/10</t>
        </is>
      </c>
      <c r="C4" s="66" t="inlineStr">
        <is>
          <t>增長驗證期校準</t>
        </is>
      </c>
      <c r="D4" s="62" t="inlineStr">
        <is>
          <t>1. 競品定位地圖 2026 H1
2. 受眾品牌認知問卷（n≥200）
3. 付費訂閱轉化來源分析</t>
        </is>
      </c>
      <c r="E4" s="62" t="inlineStr">
        <is>
          <t>DeepResearch: 競品定位地圖H1
Skywork: 受眾問卷分析報告</t>
        </is>
      </c>
      <c r="F4" s="62" t="inlineStr">
        <is>
          <t>H2品牌戰略調整備忘錄（一頁版）
AI Prompt SOP更新記錄</t>
        </is>
      </c>
      <c r="G4" s="67" t="inlineStr">
        <is>
          <t>BNotes創辦人｜待執行</t>
        </is>
      </c>
    </row>
    <row r="5" ht="80" customHeight="1">
      <c r="A5" s="68" t="inlineStr">
        <is>
          <t>Q3</t>
        </is>
      </c>
      <c r="B5" s="69" t="inlineStr">
        <is>
          <t>2026/10/10</t>
        </is>
      </c>
      <c r="C5" s="70" t="inlineStr">
        <is>
          <t>商業化深化期校準</t>
        </is>
      </c>
      <c r="D5" s="62" t="inlineStr">
        <is>
          <t>1. 線上課程ROI評估
2. Q4選題庫建立
3. 品牌合作定位相容性審核</t>
        </is>
      </c>
      <c r="E5" s="62" t="inlineStr">
        <is>
          <t>DeepResearch: 2026秋冬趨勢預測
Excel KPI追蹤表：Q3完整回顧</t>
        </is>
      </c>
      <c r="F5" s="62" t="inlineStr">
        <is>
          <t>Q4年終衝刺計劃
OKR達成缺口應對策略</t>
        </is>
      </c>
      <c r="G5" s="71" t="inlineStr">
        <is>
          <t>BNotes創辦人｜待執行</t>
        </is>
      </c>
    </row>
    <row r="6" ht="80" customHeight="1">
      <c r="A6" s="72" t="inlineStr">
        <is>
          <t>Q4
年終</t>
        </is>
      </c>
      <c r="B6" s="73" t="inlineStr">
        <is>
          <t>2026/12/31</t>
        </is>
      </c>
      <c r="C6" s="74" t="inlineStr">
        <is>
          <t>年度總結與2027定位</t>
        </is>
      </c>
      <c r="D6" s="62" t="inlineStr">
        <is>
          <t>1. 全年OKR達成率總報告
2. 品牌定位年度複核
3. 2026品牌資產盤點</t>
        </is>
      </c>
      <c r="E6" s="62" t="inlineStr">
        <is>
          <t>DeepResearch: 2027台灣精品咖啡市場預測
Skywork: 年度KPI自動匯總</t>
        </is>
      </c>
      <c r="F6" s="62" t="inlineStr">
        <is>
          <t>BNotes 2027 Phase 2策略大綱
年度品牌健康度報告</t>
        </is>
      </c>
      <c r="G6" s="75" t="inlineStr">
        <is>
          <t>BNotes創辦人｜待執行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2026-04-06T03:41:33Z</dcterms:created>
  <dcterms:modified xmlns:dcterms="http://purl.org/dc/terms/" xmlns:xsi="http://www.w3.org/2001/XMLSchema-instance" xsi:type="dcterms:W3CDTF">2026-04-06T03:41:34Z</dcterms:modified>
</cp:coreProperties>
</file>