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內容曆" sheetId="2" state="visible" r:id="rId2"/>
    <sheet xmlns:r="http://schemas.openxmlformats.org/officeDocument/2006/relationships" name="📱 平台數據" sheetId="3" state="visible" r:id="rId3"/>
    <sheet xmlns:r="http://schemas.openxmlformats.org/officeDocument/2006/relationships" name="💡 選題庫" sheetId="4" state="visible" r:id="rId4"/>
    <sheet xmlns:r="http://schemas.openxmlformats.org/officeDocument/2006/relationships" name="🤝 品牌合作" sheetId="5" state="visible" r:id="rId5"/>
    <sheet xmlns:r="http://schemas.openxmlformats.org/officeDocument/2006/relationships" name="🎯 年度OK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0"/>
    </font>
    <font>
      <b val="1"/>
      <color rgb="00FFFFFF"/>
      <sz val="10"/>
    </font>
    <font>
      <b val="1"/>
      <color rgb="001A3A4A"/>
      <sz val="18"/>
    </font>
    <font>
      <color rgb="005D6D7E"/>
      <sz val="10"/>
    </font>
    <font>
      <i val="1"/>
      <color rgb="005D6D7E"/>
      <sz val="9"/>
    </font>
    <font>
      <b val="1"/>
      <color rgb="00C8965A"/>
      <sz val="18"/>
    </font>
    <font>
      <b val="1"/>
      <color rgb="002E86AB"/>
      <sz val="18"/>
    </font>
    <font>
      <b val="1"/>
      <color rgb="0027AE60"/>
      <sz val="18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6"/>
    </font>
    <font>
      <b val="1"/>
      <color rgb="002E86AB"/>
      <sz val="11"/>
    </font>
    <font>
      <b val="1"/>
      <color rgb="00F39C12"/>
      <sz val="11"/>
    </font>
    <font>
      <b val="1"/>
      <color rgb="0027AE60"/>
      <sz val="11"/>
    </font>
    <font>
      <b val="1"/>
      <color rgb="00E74C3C"/>
      <sz val="11"/>
    </font>
    <font>
      <b val="1"/>
      <color rgb="0027AE60"/>
      <sz val="13"/>
    </font>
    <font>
      <b val="1"/>
      <color rgb="00C8965A"/>
      <sz val="13"/>
    </font>
    <font>
      <b val="1"/>
      <color rgb="002E86AB"/>
      <sz val="13"/>
    </font>
    <font>
      <b val="1"/>
      <color rgb="00E74C3C"/>
      <sz val="13"/>
    </font>
    <font>
      <color rgb="005D6D7E"/>
      <sz val="9"/>
    </font>
    <font>
      <b val="1"/>
      <sz val="10"/>
    </font>
  </fonts>
  <fills count="20">
    <fill>
      <patternFill/>
    </fill>
    <fill>
      <patternFill patternType="gray125"/>
    </fill>
    <fill>
      <patternFill patternType="solid">
        <fgColor rgb="001A3A4A"/>
      </patternFill>
    </fill>
    <fill>
      <patternFill patternType="solid">
        <fgColor rgb="00C8965A"/>
      </patternFill>
    </fill>
    <fill>
      <patternFill patternType="solid">
        <fgColor rgb="00FFFFFF"/>
      </patternFill>
    </fill>
    <fill>
      <patternFill patternType="solid">
        <fgColor rgb="00EBF4F7"/>
      </patternFill>
    </fill>
    <fill>
      <patternFill patternType="solid">
        <fgColor rgb="002E86AB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DF2F8"/>
      </patternFill>
    </fill>
    <fill>
      <patternFill patternType="solid">
        <fgColor rgb="00D35400"/>
      </patternFill>
    </fill>
    <fill>
      <patternFill patternType="solid">
        <fgColor rgb="00FDF5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8" borderId="1" pivotButton="0" quotePrefix="0" xfId="0"/>
    <xf numFmtId="0" fontId="10" fillId="3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3" fontId="12" fillId="13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Newsletter 訂閱趨勢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Dashboard'!$B$12:$B$23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訂閱數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互動率趨勢 (%)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Dashboard'!G11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Dashboard'!$G$12:$G$23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互動率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月度營收 (TWD)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Dashboard'!$A$12:$A$23</f>
            </numRef>
          </cat>
          <val>
            <numRef>
              <f>'📊 Dashboard'!$H$12:$H$23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 TWD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發文數 vs 爆款數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Dashboard'!I11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Dashboard'!$A$12:$A$23</f>
            </numRef>
          </cat>
          <val>
            <numRef>
              <f>'📊 Dashboard'!$I$12:$I$23</f>
            </numRef>
          </val>
        </ser>
        <ser>
          <idx val="1"/>
          <order val="1"/>
          <tx>
            <strRef>
              <f>'📊 Dashboard'!J11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Dashboard'!$A$12:$A$23</f>
            </numRef>
          </cat>
          <val>
            <numRef>
              <f>'📊 Dashboard'!$J$12:$J$23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41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1" customWidth="1" min="4" max="4"/>
    <col width="10" customWidth="1" min="5" max="5"/>
    <col width="14" customWidth="1" min="6" max="6"/>
    <col width="11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45" customHeight="1">
      <c r="A1" s="1" t="inlineStr">
        <is>
          <t>☕  BNotes KPI 追蹤儀表板  |  2026</t>
        </is>
      </c>
    </row>
    <row r="2" ht="22" customHeight="1">
      <c r="A2" s="2" t="inlineStr">
        <is>
          <t>North Star：月度活躍訂閱者（MAS）  |  更新頻率：每月底</t>
        </is>
      </c>
    </row>
    <row r="4" ht="18" customHeight="1">
      <c r="A4" s="3" t="inlineStr">
        <is>
          <t>📬 Newsletter 訂閱數</t>
        </is>
      </c>
      <c r="E4" s="4" t="inlineStr">
        <is>
          <t>📈 互動率 (ER%)</t>
        </is>
      </c>
      <c r="I4" s="5" t="inlineStr">
        <is>
          <t>🌐 月度觸及</t>
        </is>
      </c>
      <c r="M4" s="6" t="inlineStr">
        <is>
          <t>💰 月度營收 (TWD)</t>
        </is>
      </c>
    </row>
    <row r="5" ht="30" customHeight="1">
      <c r="A5" s="7" t="inlineStr">
        <is>
          <t>填入最新數字→</t>
        </is>
      </c>
      <c r="E5" s="8" t="inlineStr">
        <is>
          <t>填入本月均值→</t>
        </is>
      </c>
      <c r="I5" s="9" t="inlineStr">
        <is>
          <t>填入本月數字→</t>
        </is>
      </c>
      <c r="M5" s="10" t="inlineStr">
        <is>
          <t>填入本月數字→</t>
        </is>
      </c>
    </row>
    <row r="6" ht="22" customHeight="1">
      <c r="A6" s="11" t="inlineStr">
        <is>
          <t>MAS</t>
        </is>
      </c>
      <c r="E6" s="11" t="inlineStr">
        <is>
          <t>各平台平均</t>
        </is>
      </c>
      <c r="I6" s="11" t="inlineStr">
        <is>
          <t>Reach</t>
        </is>
      </c>
      <c r="M6" s="11" t="inlineStr">
        <is>
          <t>Revenue</t>
        </is>
      </c>
    </row>
    <row r="7" ht="18" customHeight="1">
      <c r="A7" s="12" t="inlineStr">
        <is>
          <t>月度活躍訂閱者</t>
        </is>
      </c>
      <c r="E7" s="12" t="inlineStr">
        <is>
          <t>互動 / 觸及</t>
        </is>
      </c>
      <c r="I7" s="12" t="inlineStr">
        <is>
          <t>跨平台觸及總人次</t>
        </is>
      </c>
      <c r="M7" s="12" t="inlineStr">
        <is>
          <t>各渠道收益加總</t>
        </is>
      </c>
    </row>
    <row r="8" ht="16" customHeight="1">
      <c r="A8" s="13" t="n"/>
      <c r="E8" s="13" t="n"/>
      <c r="I8" s="13" t="n"/>
      <c r="M8" s="13" t="n"/>
    </row>
    <row r="10" ht="20" customHeight="1">
      <c r="A10" s="14" t="inlineStr">
        <is>
          <t>📅 月度數據輸入區（請每月更新）</t>
        </is>
      </c>
    </row>
    <row r="11">
      <c r="A11" s="15" t="inlineStr">
        <is>
          <t>月份</t>
        </is>
      </c>
      <c r="B11" s="15" t="inlineStr">
        <is>
          <t>Newsletter訂閱數</t>
        </is>
      </c>
      <c r="C11" s="15" t="inlineStr">
        <is>
          <t>月增訂閱</t>
        </is>
      </c>
      <c r="D11" s="15" t="inlineStr">
        <is>
          <t>開信率(%)</t>
        </is>
      </c>
      <c r="E11" s="15" t="inlineStr">
        <is>
          <t>點擊率(%)</t>
        </is>
      </c>
      <c r="F11" s="15" t="inlineStr">
        <is>
          <t>月觸及</t>
        </is>
      </c>
      <c r="G11" s="15" t="inlineStr">
        <is>
          <t>互動率(%)</t>
        </is>
      </c>
      <c r="H11" s="15" t="inlineStr">
        <is>
          <t>月營收(TWD)</t>
        </is>
      </c>
      <c r="I11" s="15" t="inlineStr">
        <is>
          <t>發文數</t>
        </is>
      </c>
      <c r="J11" s="15" t="inlineStr">
        <is>
          <t>爆款數</t>
        </is>
      </c>
    </row>
    <row r="12" ht="18" customHeight="1">
      <c r="A12" s="16" t="inlineStr">
        <is>
          <t>1月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</row>
    <row r="13" ht="18" customHeight="1">
      <c r="A13" s="18" t="inlineStr">
        <is>
          <t>2月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18" customHeight="1">
      <c r="A14" s="16" t="inlineStr">
        <is>
          <t>3月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</row>
    <row r="15" ht="18" customHeight="1">
      <c r="A15" s="18" t="inlineStr">
        <is>
          <t>4月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 ht="18" customHeight="1">
      <c r="A16" s="16" t="inlineStr">
        <is>
          <t>5月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 ht="18" customHeight="1">
      <c r="A17" s="18" t="inlineStr">
        <is>
          <t>6月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 ht="18" customHeight="1">
      <c r="A18" s="16" t="inlineStr">
        <is>
          <t>7月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 ht="18" customHeight="1">
      <c r="A19" s="18" t="inlineStr">
        <is>
          <t>8月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 ht="18" customHeight="1">
      <c r="A20" s="16" t="inlineStr">
        <is>
          <t>9月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 ht="18" customHeight="1">
      <c r="A21" s="18" t="inlineStr">
        <is>
          <t>10月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18" customHeight="1">
      <c r="A22" s="16" t="inlineStr">
        <is>
          <t>11月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 ht="18" customHeight="1">
      <c r="A23" s="18" t="inlineStr">
        <is>
          <t>12月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</sheetData>
  <mergeCells count="23">
    <mergeCell ref="A5:D5"/>
    <mergeCell ref="A8:D8"/>
    <mergeCell ref="M8:P8"/>
    <mergeCell ref="I8:L8"/>
    <mergeCell ref="A4:D4"/>
    <mergeCell ref="I4:L4"/>
    <mergeCell ref="E7:H7"/>
    <mergeCell ref="A10:P10"/>
    <mergeCell ref="M4:P4"/>
    <mergeCell ref="I6:L6"/>
    <mergeCell ref="E5:H5"/>
    <mergeCell ref="M5:P5"/>
    <mergeCell ref="A6:D6"/>
    <mergeCell ref="E8:H8"/>
    <mergeCell ref="A1:P1"/>
    <mergeCell ref="E4:H4"/>
    <mergeCell ref="A7:D7"/>
    <mergeCell ref="I7:L7"/>
    <mergeCell ref="M7:P7"/>
    <mergeCell ref="E6:H6"/>
    <mergeCell ref="M6:P6"/>
    <mergeCell ref="I5:L5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5" customWidth="1" min="4" max="4"/>
    <col width="20" customWidth="1" min="5" max="5"/>
    <col width="12" customWidth="1" min="6" max="6"/>
    <col width="10" customWidth="1" min="7" max="7"/>
    <col width="10" customWidth="1" min="8" max="8"/>
    <col width="11" customWidth="1" min="9" max="9"/>
    <col width="18" customWidth="1" min="10" max="10"/>
  </cols>
  <sheetData>
    <row r="1" ht="38" customHeight="1">
      <c r="A1" s="20" t="inlineStr">
        <is>
          <t>📅  BNotes 內容曆  |  2026</t>
        </is>
      </c>
    </row>
    <row r="2" ht="18" customHeight="1">
      <c r="A2" s="21" t="inlineStr">
        <is>
          <t>✅ 已發佈</t>
        </is>
      </c>
      <c r="B2" s="22" t="n"/>
      <c r="C2" s="23" t="inlineStr">
        <is>
          <t>🔄 進行中</t>
        </is>
      </c>
      <c r="D2" s="22" t="n"/>
      <c r="E2" s="24" t="inlineStr">
        <is>
          <t>💡 待規劃</t>
        </is>
      </c>
      <c r="F2" s="22" t="n"/>
      <c r="G2" s="25" t="inlineStr">
        <is>
          <t>❌ 取消</t>
        </is>
      </c>
      <c r="H2" s="22" t="n"/>
      <c r="I2" s="26" t="inlineStr">
        <is>
          <t>📅 預定</t>
        </is>
      </c>
      <c r="J2" s="22" t="n"/>
    </row>
    <row r="4" ht="20" customHeight="1">
      <c r="A4" s="3" t="inlineStr">
        <is>
          <t>日期</t>
        </is>
      </c>
      <c r="B4" s="3" t="inlineStr">
        <is>
          <t>平台</t>
        </is>
      </c>
      <c r="C4" s="3" t="inlineStr">
        <is>
          <t>內容類型</t>
        </is>
      </c>
      <c r="D4" s="3" t="inlineStr">
        <is>
          <t>主題 / 標題</t>
        </is>
      </c>
      <c r="E4" s="3" t="inlineStr">
        <is>
          <t>關鍵詞</t>
        </is>
      </c>
      <c r="F4" s="3" t="inlineStr">
        <is>
          <t>狀態</t>
        </is>
      </c>
      <c r="G4" s="3" t="inlineStr">
        <is>
          <t>觸及</t>
        </is>
      </c>
      <c r="H4" s="3" t="inlineStr">
        <is>
          <t>互動數</t>
        </is>
      </c>
      <c r="I4" s="3" t="inlineStr">
        <is>
          <t>互動率(%)</t>
        </is>
      </c>
      <c r="J4" s="3" t="inlineStr">
        <is>
          <t>備註</t>
        </is>
      </c>
    </row>
    <row r="5" ht="18" customHeight="1">
      <c r="A5" s="27" t="inlineStr">
        <is>
          <t>2026/01/05</t>
        </is>
      </c>
      <c r="B5" s="27" t="inlineStr">
        <is>
          <t>Instagram</t>
        </is>
      </c>
      <c r="C5" s="27" t="inlineStr">
        <is>
          <t>Reels 短影片</t>
        </is>
      </c>
      <c r="D5" s="28" t="inlineStr">
        <is>
          <t>義式咖啡萃取比例全解析</t>
        </is>
      </c>
      <c r="E5" s="28" t="inlineStr">
        <is>
          <t>義式/萃取/咖啡</t>
        </is>
      </c>
      <c r="F5" s="27" t="inlineStr">
        <is>
          <t>✅ 已發佈</t>
        </is>
      </c>
      <c r="G5" s="27" t="inlineStr"/>
      <c r="H5" s="27" t="inlineStr"/>
      <c r="I5" s="27" t="inlineStr"/>
      <c r="J5" s="28" t="inlineStr">
        <is>
          <t>首月測試</t>
        </is>
      </c>
    </row>
    <row r="6" ht="18" customHeight="1">
      <c r="A6" s="27" t="inlineStr">
        <is>
          <t>2026/01/08</t>
        </is>
      </c>
      <c r="B6" s="27" t="inlineStr">
        <is>
          <t>Newsletter</t>
        </is>
      </c>
      <c r="C6" s="27" t="inlineStr">
        <is>
          <t>週報</t>
        </is>
      </c>
      <c r="D6" s="28" t="inlineStr">
        <is>
          <t>第1期｜手沖入門5個關鍵</t>
        </is>
      </c>
      <c r="E6" s="28" t="inlineStr">
        <is>
          <t>手沖/新手/咖啡</t>
        </is>
      </c>
      <c r="F6" s="27" t="inlineStr">
        <is>
          <t>✅ 已發佈</t>
        </is>
      </c>
      <c r="G6" s="27" t="inlineStr"/>
      <c r="H6" s="27" t="inlineStr"/>
      <c r="I6" s="27" t="inlineStr"/>
      <c r="J6" s="28" t="inlineStr"/>
    </row>
    <row r="7" ht="18" customHeight="1">
      <c r="A7" s="29" t="inlineStr">
        <is>
          <t>2026/01/12</t>
        </is>
      </c>
      <c r="B7" s="29" t="inlineStr">
        <is>
          <t>YouTube</t>
        </is>
      </c>
      <c r="C7" s="29" t="inlineStr">
        <is>
          <t>長影片</t>
        </is>
      </c>
      <c r="D7" s="30" t="inlineStr">
        <is>
          <t>Ethiopia Yirgacheffe 產區紀錄</t>
        </is>
      </c>
      <c r="E7" s="30" t="inlineStr">
        <is>
          <t>衣索比亞/單品</t>
        </is>
      </c>
      <c r="F7" s="29" t="inlineStr">
        <is>
          <t>🔄 進行中</t>
        </is>
      </c>
      <c r="G7" s="29" t="inlineStr"/>
      <c r="H7" s="29" t="inlineStr"/>
      <c r="I7" s="29" t="inlineStr"/>
      <c r="J7" s="30" t="inlineStr">
        <is>
          <t>剪輯中</t>
        </is>
      </c>
    </row>
    <row r="8" ht="18" customHeight="1">
      <c r="A8" s="31" t="inlineStr">
        <is>
          <t>2026/01/15</t>
        </is>
      </c>
      <c r="B8" s="31" t="inlineStr">
        <is>
          <t>Podcast</t>
        </is>
      </c>
      <c r="C8" s="31" t="inlineStr">
        <is>
          <t>節目</t>
        </is>
      </c>
      <c r="D8" s="32" t="inlineStr">
        <is>
          <t>S1E1：咖啡師的一天</t>
        </is>
      </c>
      <c r="E8" s="32" t="inlineStr">
        <is>
          <t>咖啡師/職人</t>
        </is>
      </c>
      <c r="F8" s="31" t="inlineStr">
        <is>
          <t>📅 預定</t>
        </is>
      </c>
      <c r="G8" s="31" t="inlineStr"/>
      <c r="H8" s="31" t="inlineStr"/>
      <c r="I8" s="31" t="inlineStr"/>
      <c r="J8" s="32" t="inlineStr"/>
    </row>
    <row r="9" ht="18" customHeight="1">
      <c r="A9" s="33" t="inlineStr">
        <is>
          <t>2026/01/19</t>
        </is>
      </c>
      <c r="B9" s="33" t="inlineStr">
        <is>
          <t>LinkedIn</t>
        </is>
      </c>
      <c r="C9" s="33" t="inlineStr">
        <is>
          <t>長文</t>
        </is>
      </c>
      <c r="D9" s="34" t="inlineStr">
        <is>
          <t>精品咖啡市場2026趨勢</t>
        </is>
      </c>
      <c r="E9" s="34" t="inlineStr">
        <is>
          <t>市場/趨勢</t>
        </is>
      </c>
      <c r="F9" s="33" t="inlineStr">
        <is>
          <t>💡 待規劃</t>
        </is>
      </c>
      <c r="G9" s="33" t="inlineStr"/>
      <c r="H9" s="33" t="inlineStr"/>
      <c r="I9" s="33" t="inlineStr"/>
      <c r="J9" s="34" t="inlineStr"/>
    </row>
    <row r="10" ht="18" customHeight="1">
      <c r="A10" s="33" t="inlineStr">
        <is>
          <t>2026/01/22</t>
        </is>
      </c>
      <c r="B10" s="33" t="inlineStr">
        <is>
          <t>Instagram</t>
        </is>
      </c>
      <c r="C10" s="33" t="inlineStr">
        <is>
          <t>圖文輪播</t>
        </is>
      </c>
      <c r="D10" s="34" t="inlineStr">
        <is>
          <t>五款手沖濾杯比較</t>
        </is>
      </c>
      <c r="E10" s="34" t="inlineStr">
        <is>
          <t>濾杯/比較</t>
        </is>
      </c>
      <c r="F10" s="33" t="inlineStr">
        <is>
          <t>💡 待規劃</t>
        </is>
      </c>
      <c r="G10" s="33" t="inlineStr"/>
      <c r="H10" s="33" t="inlineStr"/>
      <c r="I10" s="33" t="inlineStr"/>
      <c r="J10" s="34" t="inlineStr"/>
    </row>
    <row r="11" ht="18" customHeight="1">
      <c r="A11" s="31" t="inlineStr">
        <is>
          <t>2026/01/26</t>
        </is>
      </c>
      <c r="B11" s="31" t="inlineStr">
        <is>
          <t>Newsletter</t>
        </is>
      </c>
      <c r="C11" s="31" t="inlineStr">
        <is>
          <t>週報</t>
        </is>
      </c>
      <c r="D11" s="32" t="inlineStr">
        <is>
          <t>第2期｜單品咖啡產區指南</t>
        </is>
      </c>
      <c r="E11" s="32" t="inlineStr">
        <is>
          <t>單品/產區</t>
        </is>
      </c>
      <c r="F11" s="31" t="inlineStr">
        <is>
          <t>📅 預定</t>
        </is>
      </c>
      <c r="G11" s="31" t="inlineStr"/>
      <c r="H11" s="31" t="inlineStr"/>
      <c r="I11" s="31" t="inlineStr"/>
      <c r="J11" s="32" t="inlineStr"/>
    </row>
    <row r="12" ht="18" customHeight="1">
      <c r="A12" s="33" t="inlineStr">
        <is>
          <t>2026/01/29</t>
        </is>
      </c>
      <c r="B12" s="33" t="inlineStr">
        <is>
          <t>YouTube</t>
        </is>
      </c>
      <c r="C12" s="33" t="inlineStr">
        <is>
          <t>Shorts</t>
        </is>
      </c>
      <c r="D12" s="34" t="inlineStr">
        <is>
          <t>30秒冷萃技巧</t>
        </is>
      </c>
      <c r="E12" s="34" t="inlineStr">
        <is>
          <t>冷萃/快訊</t>
        </is>
      </c>
      <c r="F12" s="33" t="inlineStr">
        <is>
          <t>💡 待規劃</t>
        </is>
      </c>
      <c r="G12" s="33" t="inlineStr"/>
      <c r="H12" s="33" t="inlineStr"/>
      <c r="I12" s="33" t="inlineStr"/>
      <c r="J12" s="34" t="inlineStr"/>
    </row>
    <row r="13" ht="16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</row>
    <row r="14" ht="16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</row>
    <row r="15" ht="16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</row>
    <row r="16" ht="16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</row>
    <row r="17" ht="16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16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</row>
    <row r="19" ht="16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16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</row>
    <row r="21" ht="16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16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</row>
    <row r="23" ht="16" customHeight="1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</row>
    <row r="24" ht="16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</row>
    <row r="25" ht="16" customHeigh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</row>
    <row r="26" ht="16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</row>
    <row r="27" ht="16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</row>
    <row r="28" ht="16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</row>
    <row r="29" ht="16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16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</row>
    <row r="31" ht="16" customHeight="1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16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</row>
    <row r="33" ht="16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16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</row>
    <row r="35" ht="16" customHeight="1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16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</row>
    <row r="37" ht="16" customHeight="1">
      <c r="A37" s="35" t="n"/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16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</row>
    <row r="39" ht="16" customHeight="1">
      <c r="A39" s="35" t="n"/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16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</row>
    <row r="41" ht="16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16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</row>
    <row r="43" ht="16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16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</row>
    <row r="45" ht="16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16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</row>
    <row r="47" ht="16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16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</row>
    <row r="49" ht="16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16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</row>
    <row r="51" ht="16" customHeight="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16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</row>
    <row r="53" ht="16" customHeight="1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16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</row>
  </sheetData>
  <mergeCells count="6">
    <mergeCell ref="A2:B2"/>
    <mergeCell ref="C2:D2"/>
    <mergeCell ref="G2:H2"/>
    <mergeCell ref="E2:F2"/>
    <mergeCell ref="I2:J2"/>
    <mergeCell ref="A1:L1"/>
  </mergeCells>
  <dataValidations count="2">
    <dataValidation sqref="F5:F200" showDropDown="0" showInputMessage="0" showErrorMessage="0" allowBlank="1" type="list">
      <formula1>"✅ 已發佈,🔄 進行中,💡 待規劃,❌ 取消,📅 預定"</formula1>
    </dataValidation>
    <dataValidation sqref="B5:B200" showDropDown="0" showInputMessage="0" showErrorMessage="0" allowBlank="1" type="list">
      <formula1>"Instagram,YouTube,Newsletter,Podcast,LinkedIn,Twitter/X,Website"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</cols>
  <sheetData>
    <row r="1" ht="38" customHeight="1">
      <c r="A1" s="20" t="inlineStr">
        <is>
          <t>📱  BNotes 跨平台數據追蹤  |  2026</t>
        </is>
      </c>
    </row>
    <row r="3" ht="20" customHeight="1">
      <c r="A3" s="37" t="inlineStr">
        <is>
          <t>【月度數據】每月底填入</t>
        </is>
      </c>
    </row>
    <row r="4" ht="32" customHeight="1">
      <c r="A4" s="38" t="inlineStr">
        <is>
          <t>月份</t>
        </is>
      </c>
      <c r="B4" s="38" t="inlineStr">
        <is>
          <t>Instagram
追蹤者</t>
        </is>
      </c>
      <c r="C4" s="38" t="inlineStr">
        <is>
          <t>IG月增</t>
        </is>
      </c>
      <c r="D4" s="38" t="inlineStr">
        <is>
          <t>IG觸及</t>
        </is>
      </c>
      <c r="E4" s="38" t="inlineStr">
        <is>
          <t>IG互動率%</t>
        </is>
      </c>
      <c r="F4" s="38" t="inlineStr">
        <is>
          <t>YouTube
訂閱數</t>
        </is>
      </c>
      <c r="G4" s="38" t="inlineStr">
        <is>
          <t>YT月增</t>
        </is>
      </c>
      <c r="H4" s="38" t="inlineStr">
        <is>
          <t>YT觀看數</t>
        </is>
      </c>
      <c r="I4" s="38" t="inlineStr">
        <is>
          <t>YT互動率%</t>
        </is>
      </c>
      <c r="J4" s="38" t="inlineStr">
        <is>
          <t>Newsletter
訂閱數</t>
        </is>
      </c>
      <c r="K4" s="38" t="inlineStr">
        <is>
          <t>NL月增</t>
        </is>
      </c>
      <c r="L4" s="38" t="inlineStr">
        <is>
          <t>開信率%</t>
        </is>
      </c>
      <c r="M4" s="38" t="inlineStr">
        <is>
          <t>點擊率%</t>
        </is>
      </c>
      <c r="N4" s="38" t="inlineStr">
        <is>
          <t>Podcast
收聽數</t>
        </is>
      </c>
      <c r="O4" s="38" t="inlineStr">
        <is>
          <t>LinkedIn
追蹤者</t>
        </is>
      </c>
      <c r="P4" s="38" t="inlineStr">
        <is>
          <t>網站UV</t>
        </is>
      </c>
      <c r="Q4" s="38" t="inlineStr">
        <is>
          <t>網站PV</t>
        </is>
      </c>
      <c r="R4" s="38" t="inlineStr">
        <is>
          <t>跳出率%</t>
        </is>
      </c>
    </row>
    <row r="5" ht="18" customHeight="1">
      <c r="A5" s="19" t="inlineStr">
        <is>
          <t>1月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</row>
    <row r="6" ht="18" customHeight="1">
      <c r="A6" s="17" t="inlineStr">
        <is>
          <t>2月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</row>
    <row r="7" ht="18" customHeight="1">
      <c r="A7" s="19" t="inlineStr">
        <is>
          <t>3月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</row>
    <row r="8" ht="18" customHeight="1">
      <c r="A8" s="17" t="inlineStr">
        <is>
          <t>4月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</row>
    <row r="9" ht="18" customHeight="1">
      <c r="A9" s="19" t="inlineStr">
        <is>
          <t>5月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</row>
    <row r="10" ht="18" customHeight="1">
      <c r="A10" s="17" t="inlineStr">
        <is>
          <t>6月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</row>
    <row r="11" ht="18" customHeight="1">
      <c r="A11" s="19" t="inlineStr">
        <is>
          <t>7月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</row>
    <row r="12" ht="18" customHeight="1">
      <c r="A12" s="17" t="inlineStr">
        <is>
          <t>8月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</row>
    <row r="13" ht="18" customHeight="1">
      <c r="A13" s="19" t="inlineStr">
        <is>
          <t>9月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</row>
    <row r="14" ht="18" customHeight="1">
      <c r="A14" s="17" t="inlineStr">
        <is>
          <t>10月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  <row r="15" ht="18" customHeight="1">
      <c r="A15" s="19" t="inlineStr">
        <is>
          <t>11月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</row>
    <row r="16" ht="18" customHeight="1">
      <c r="A16" s="17" t="inlineStr">
        <is>
          <t>12月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9" ht="20" customHeight="1">
      <c r="A19" s="39" t="inlineStr">
        <is>
          <t>【週度數據】每週一填入（Instagram 詳細追蹤）</t>
        </is>
      </c>
    </row>
    <row r="20" ht="20" customHeight="1">
      <c r="A20" s="24" t="inlineStr">
        <is>
          <t>週次</t>
        </is>
      </c>
      <c r="B20" s="24" t="inlineStr">
        <is>
          <t>日期區間</t>
        </is>
      </c>
      <c r="C20" s="24" t="inlineStr">
        <is>
          <t>觸及人數</t>
        </is>
      </c>
      <c r="D20" s="24" t="inlineStr">
        <is>
          <t>曝光次數</t>
        </is>
      </c>
      <c r="E20" s="24" t="inlineStr">
        <is>
          <t>互動數</t>
        </is>
      </c>
      <c r="F20" s="24" t="inlineStr">
        <is>
          <t>互動率%</t>
        </is>
      </c>
      <c r="G20" s="24" t="inlineStr">
        <is>
          <t>追蹤者增加</t>
        </is>
      </c>
      <c r="H20" s="24" t="inlineStr">
        <is>
          <t>限時動態瀏覽</t>
        </is>
      </c>
      <c r="I20" s="24" t="inlineStr">
        <is>
          <t>Reels觀看</t>
        </is>
      </c>
      <c r="J20" s="24" t="inlineStr">
        <is>
          <t>最高互動內容</t>
        </is>
      </c>
      <c r="K20" s="24" t="inlineStr">
        <is>
          <t>備註</t>
        </is>
      </c>
    </row>
    <row r="21" ht="16" customHeight="1">
      <c r="A21" s="19" t="inlineStr">
        <is>
          <t>W01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</row>
    <row r="22" ht="16" customHeight="1">
      <c r="A22" s="17" t="inlineStr">
        <is>
          <t>W02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 ht="16" customHeight="1">
      <c r="A23" s="19" t="inlineStr">
        <is>
          <t>W03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</row>
    <row r="24" ht="16" customHeight="1">
      <c r="A24" s="17" t="inlineStr">
        <is>
          <t>W04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 ht="16" customHeight="1">
      <c r="A25" s="19" t="inlineStr">
        <is>
          <t>W05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</row>
    <row r="26" ht="16" customHeight="1">
      <c r="A26" s="17" t="inlineStr">
        <is>
          <t>W06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 ht="16" customHeight="1">
      <c r="A27" s="19" t="inlineStr">
        <is>
          <t>W07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</row>
    <row r="28" ht="16" customHeight="1">
      <c r="A28" s="17" t="inlineStr">
        <is>
          <t>W08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 ht="16" customHeight="1">
      <c r="A29" s="19" t="inlineStr">
        <is>
          <t>W09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</row>
    <row r="30" ht="16" customHeight="1">
      <c r="A30" s="17" t="inlineStr">
        <is>
          <t>W10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 ht="16" customHeight="1">
      <c r="A31" s="19" t="inlineStr">
        <is>
          <t>W11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</row>
    <row r="32" ht="16" customHeight="1">
      <c r="A32" s="17" t="inlineStr">
        <is>
          <t>W12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 ht="16" customHeight="1">
      <c r="A33" s="19" t="inlineStr">
        <is>
          <t>W13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</row>
    <row r="34" ht="16" customHeight="1">
      <c r="A34" s="17" t="inlineStr">
        <is>
          <t>W14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 ht="16" customHeight="1">
      <c r="A35" s="19" t="inlineStr">
        <is>
          <t>W15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</row>
    <row r="36" ht="16" customHeight="1">
      <c r="A36" s="17" t="inlineStr">
        <is>
          <t>W16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 ht="16" customHeight="1">
      <c r="A37" s="19" t="inlineStr">
        <is>
          <t>W17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</row>
    <row r="38" ht="16" customHeight="1">
      <c r="A38" s="17" t="inlineStr">
        <is>
          <t>W18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 ht="16" customHeight="1">
      <c r="A39" s="19" t="inlineStr">
        <is>
          <t>W19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</row>
    <row r="40" ht="16" customHeight="1">
      <c r="A40" s="17" t="inlineStr">
        <is>
          <t>W20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 ht="16" customHeight="1">
      <c r="A41" s="19" t="inlineStr">
        <is>
          <t>W21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</row>
    <row r="42" ht="16" customHeight="1">
      <c r="A42" s="17" t="inlineStr">
        <is>
          <t>W22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6" customHeight="1">
      <c r="A43" s="19" t="inlineStr">
        <is>
          <t>W23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</row>
    <row r="44" ht="16" customHeight="1">
      <c r="A44" s="17" t="inlineStr">
        <is>
          <t>W24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 ht="16" customHeight="1">
      <c r="A45" s="19" t="inlineStr">
        <is>
          <t>W25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</row>
    <row r="46" ht="16" customHeight="1">
      <c r="A46" s="17" t="inlineStr">
        <is>
          <t>W26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 ht="16" customHeight="1">
      <c r="A47" s="19" t="inlineStr">
        <is>
          <t>W27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</row>
    <row r="48" ht="16" customHeight="1">
      <c r="A48" s="17" t="inlineStr">
        <is>
          <t>W28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 ht="16" customHeight="1">
      <c r="A49" s="19" t="inlineStr">
        <is>
          <t>W29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</row>
    <row r="50" ht="16" customHeight="1">
      <c r="A50" s="17" t="inlineStr">
        <is>
          <t>W30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 ht="16" customHeight="1">
      <c r="A51" s="19" t="inlineStr">
        <is>
          <t>W31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</row>
    <row r="52" ht="16" customHeight="1">
      <c r="A52" s="17" t="inlineStr">
        <is>
          <t>W32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 ht="16" customHeight="1">
      <c r="A53" s="19" t="inlineStr">
        <is>
          <t>W33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</row>
    <row r="54" ht="16" customHeight="1">
      <c r="A54" s="17" t="inlineStr">
        <is>
          <t>W34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 ht="16" customHeight="1">
      <c r="A55" s="19" t="inlineStr">
        <is>
          <t>W35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</row>
    <row r="56" ht="16" customHeight="1">
      <c r="A56" s="17" t="inlineStr">
        <is>
          <t>W36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 ht="16" customHeight="1">
      <c r="A57" s="19" t="inlineStr">
        <is>
          <t>W37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</row>
    <row r="58" ht="16" customHeight="1">
      <c r="A58" s="17" t="inlineStr">
        <is>
          <t>W38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 ht="16" customHeight="1">
      <c r="A59" s="19" t="inlineStr">
        <is>
          <t>W39</t>
        </is>
      </c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</row>
    <row r="60" ht="16" customHeight="1">
      <c r="A60" s="17" t="inlineStr">
        <is>
          <t>W40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 ht="16" customHeight="1">
      <c r="A61" s="19" t="inlineStr">
        <is>
          <t>W41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</row>
    <row r="62" ht="16" customHeight="1">
      <c r="A62" s="17" t="inlineStr">
        <is>
          <t>W42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 ht="16" customHeight="1">
      <c r="A63" s="19" t="inlineStr">
        <is>
          <t>W43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</row>
    <row r="64" ht="16" customHeight="1">
      <c r="A64" s="17" t="inlineStr">
        <is>
          <t>W44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 ht="16" customHeight="1">
      <c r="A65" s="19" t="inlineStr">
        <is>
          <t>W45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</row>
    <row r="66" ht="16" customHeight="1">
      <c r="A66" s="17" t="inlineStr">
        <is>
          <t>W46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 ht="16" customHeight="1">
      <c r="A67" s="19" t="inlineStr">
        <is>
          <t>W47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</row>
    <row r="68" ht="16" customHeight="1">
      <c r="A68" s="17" t="inlineStr">
        <is>
          <t>W48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 ht="16" customHeight="1">
      <c r="A69" s="19" t="inlineStr">
        <is>
          <t>W49</t>
        </is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</row>
    <row r="70" ht="16" customHeight="1">
      <c r="A70" s="17" t="inlineStr">
        <is>
          <t>W50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 ht="16" customHeight="1">
      <c r="A71" s="19" t="inlineStr">
        <is>
          <t>W51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72" ht="16" customHeight="1">
      <c r="A72" s="17" t="inlineStr">
        <is>
          <t>W52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</row>
  </sheetData>
  <mergeCells count="3">
    <mergeCell ref="A3:R3"/>
    <mergeCell ref="A19:R19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0" customWidth="1" min="4" max="4"/>
    <col width="20" customWidth="1" min="5" max="5"/>
    <col width="12" customWidth="1" min="6" max="6"/>
    <col width="12" customWidth="1" min="7" max="7"/>
    <col width="10" customWidth="1" min="8" max="8"/>
    <col width="18" customWidth="1" min="9" max="9"/>
    <col width="12" customWidth="1" min="10" max="10"/>
    <col width="12" customWidth="1" min="11" max="11"/>
    <col width="11" customWidth="1" min="12" max="12"/>
    <col width="9" customWidth="1" min="13" max="13"/>
    <col width="14" customWidth="1" min="14" max="14"/>
  </cols>
  <sheetData>
    <row r="1" ht="38" customHeight="1">
      <c r="A1" s="20" t="inlineStr">
        <is>
          <t>💡  BNotes 選題庫  |  從靈感到發佈</t>
        </is>
      </c>
    </row>
    <row r="2" ht="22" customHeight="1">
      <c r="A2" s="24" t="inlineStr">
        <is>
          <t>💡 靈感池</t>
        </is>
      </c>
      <c r="B2" s="22" t="n"/>
      <c r="C2" s="40">
        <f>COUNTIF(F4:F200,"💡 "&amp;"*")</f>
        <v/>
      </c>
      <c r="D2" s="23" t="inlineStr">
        <is>
          <t>🔄 進行中</t>
        </is>
      </c>
      <c r="E2" s="22" t="n"/>
      <c r="F2" s="41">
        <f>COUNTIF(F4:F200,"🔄 "&amp;"*")</f>
        <v/>
      </c>
      <c r="G2" s="21" t="inlineStr">
        <is>
          <t>✅ 已發佈</t>
        </is>
      </c>
      <c r="H2" s="22" t="n"/>
      <c r="I2" s="42">
        <f>COUNTIF(F4:F200,"✅ "&amp;"*")</f>
        <v/>
      </c>
      <c r="J2" s="25" t="inlineStr">
        <is>
          <t>❌ 取消</t>
        </is>
      </c>
      <c r="K2" s="22" t="n"/>
      <c r="L2" s="43">
        <f>COUNTIF(F4:F200,"❌ "&amp;"*")</f>
        <v/>
      </c>
      <c r="M2" s="25" t="inlineStr">
        <is>
          <t>🔥 爆款</t>
        </is>
      </c>
      <c r="N2" s="22" t="n"/>
      <c r="O2" s="43">
        <f>COUNTIF(F4:F200,"🔥 "&amp;"*")</f>
        <v/>
      </c>
    </row>
    <row r="4" ht="20" customHeight="1">
      <c r="A4" s="38" t="inlineStr">
        <is>
          <t>登記日期</t>
        </is>
      </c>
      <c r="B4" s="38" t="inlineStr">
        <is>
          <t>平台</t>
        </is>
      </c>
      <c r="C4" s="38" t="inlineStr">
        <is>
          <t>內容類型</t>
        </is>
      </c>
      <c r="D4" s="38" t="inlineStr">
        <is>
          <t>主題標題</t>
        </is>
      </c>
      <c r="E4" s="38" t="inlineStr">
        <is>
          <t>目標關鍵詞</t>
        </is>
      </c>
      <c r="F4" s="38" t="inlineStr">
        <is>
          <t>狀態</t>
        </is>
      </c>
      <c r="G4" s="38" t="inlineStr">
        <is>
          <t>預排日期</t>
        </is>
      </c>
      <c r="H4" s="38" t="inlineStr">
        <is>
          <t>執行者</t>
        </is>
      </c>
      <c r="I4" s="38" t="inlineStr">
        <is>
          <t>參考資料來源</t>
        </is>
      </c>
      <c r="J4" s="38" t="inlineStr">
        <is>
          <t>預估互動率%</t>
        </is>
      </c>
      <c r="K4" s="38" t="inlineStr">
        <is>
          <t>實際互動率%</t>
        </is>
      </c>
      <c r="L4" s="38" t="inlineStr">
        <is>
          <t>觸及人數</t>
        </is>
      </c>
      <c r="M4" s="38" t="inlineStr">
        <is>
          <t>是否爆款</t>
        </is>
      </c>
      <c r="N4" s="38" t="inlineStr">
        <is>
          <t>備註</t>
        </is>
      </c>
    </row>
    <row r="5" ht="18" customHeight="1">
      <c r="A5" s="27" t="inlineStr">
        <is>
          <t>2026/01/02</t>
        </is>
      </c>
      <c r="B5" s="27" t="inlineStr">
        <is>
          <t>Instagram</t>
        </is>
      </c>
      <c r="C5" s="27" t="inlineStr">
        <is>
          <t>Reels</t>
        </is>
      </c>
      <c r="D5" s="44" t="inlineStr">
        <is>
          <t>義式機選購指南 2026 版</t>
        </is>
      </c>
      <c r="E5" s="44" t="inlineStr">
        <is>
          <t>義式機/選購/推薦</t>
        </is>
      </c>
      <c r="F5" s="27" t="inlineStr">
        <is>
          <t>✅ 已發佈</t>
        </is>
      </c>
      <c r="G5" s="27" t="inlineStr">
        <is>
          <t>2026/01/15</t>
        </is>
      </c>
      <c r="H5" s="27" t="inlineStr">
        <is>
          <t>BNotes</t>
        </is>
      </c>
      <c r="I5" s="27" t="inlineStr">
        <is>
          <t>YouTube評測影片</t>
        </is>
      </c>
      <c r="J5" s="44" t="inlineStr">
        <is>
          <t>3%</t>
        </is>
      </c>
      <c r="K5" s="27" t="inlineStr">
        <is>
          <t>4.2%</t>
        </is>
      </c>
      <c r="L5" s="27" t="inlineStr">
        <is>
          <t>12000</t>
        </is>
      </c>
      <c r="M5" s="27" t="inlineStr">
        <is>
          <t>🔥 是</t>
        </is>
      </c>
      <c r="N5" s="44" t="inlineStr">
        <is>
          <t>首月爆款</t>
        </is>
      </c>
    </row>
    <row r="6" ht="18" customHeight="1">
      <c r="A6" s="27" t="inlineStr">
        <is>
          <t>2026/01/05</t>
        </is>
      </c>
      <c r="B6" s="27" t="inlineStr">
        <is>
          <t>Newsletter</t>
        </is>
      </c>
      <c r="C6" s="27" t="inlineStr">
        <is>
          <t>深度文</t>
        </is>
      </c>
      <c r="D6" s="44" t="inlineStr">
        <is>
          <t>精品咖啡產區百科：非洲篇</t>
        </is>
      </c>
      <c r="E6" s="44" t="inlineStr">
        <is>
          <t>衣索比亞/肯亞/產區</t>
        </is>
      </c>
      <c r="F6" s="27" t="inlineStr">
        <is>
          <t>✅ 已發佈</t>
        </is>
      </c>
      <c r="G6" s="27" t="inlineStr">
        <is>
          <t>2026/01/22</t>
        </is>
      </c>
      <c r="H6" s="27" t="inlineStr">
        <is>
          <t>BNotes</t>
        </is>
      </c>
      <c r="I6" s="27" t="inlineStr">
        <is>
          <t>SCA資料</t>
        </is>
      </c>
      <c r="J6" s="44" t="inlineStr">
        <is>
          <t>25%開信</t>
        </is>
      </c>
      <c r="K6" s="27" t="inlineStr">
        <is>
          <t>28%</t>
        </is>
      </c>
      <c r="L6" s="27" t="inlineStr">
        <is>
          <t>8500</t>
        </is>
      </c>
      <c r="M6" s="27" t="inlineStr">
        <is>
          <t>否</t>
        </is>
      </c>
      <c r="N6" s="44" t="inlineStr"/>
    </row>
    <row r="7" ht="18" customHeight="1">
      <c r="A7" s="29" t="inlineStr">
        <is>
          <t>2026/01/10</t>
        </is>
      </c>
      <c r="B7" s="29" t="inlineStr">
        <is>
          <t>YouTube</t>
        </is>
      </c>
      <c r="C7" s="29" t="inlineStr">
        <is>
          <t>長影片</t>
        </is>
      </c>
      <c r="D7" s="45" t="inlineStr">
        <is>
          <t>咖啡師職人訪談：台北獨立咖啡館</t>
        </is>
      </c>
      <c r="E7" s="45" t="inlineStr">
        <is>
          <t>職人/訪談/台北</t>
        </is>
      </c>
      <c r="F7" s="29" t="inlineStr">
        <is>
          <t>🔄 進行中</t>
        </is>
      </c>
      <c r="G7" s="29" t="inlineStr">
        <is>
          <t>2026/02/05</t>
        </is>
      </c>
      <c r="H7" s="29" t="inlineStr">
        <is>
          <t>BNotes</t>
        </is>
      </c>
      <c r="I7" s="29" t="inlineStr">
        <is>
          <t>實地拍攝</t>
        </is>
      </c>
      <c r="J7" s="45" t="inlineStr"/>
      <c r="K7" s="29" t="inlineStr"/>
      <c r="L7" s="29" t="inlineStr"/>
      <c r="M7" s="29" t="inlineStr"/>
      <c r="N7" s="45" t="inlineStr">
        <is>
          <t>剪輯中</t>
        </is>
      </c>
    </row>
    <row r="8" ht="18" customHeight="1">
      <c r="A8" s="19" t="inlineStr">
        <is>
          <t>2026/01/12</t>
        </is>
      </c>
      <c r="B8" s="19" t="inlineStr">
        <is>
          <t>Instagram</t>
        </is>
      </c>
      <c r="C8" s="19" t="inlineStr">
        <is>
          <t>圖文</t>
        </is>
      </c>
      <c r="D8" s="46" t="inlineStr">
        <is>
          <t>手沖五大萃取變數圖解</t>
        </is>
      </c>
      <c r="E8" s="46" t="inlineStr">
        <is>
          <t>手沖/萃取/變數</t>
        </is>
      </c>
      <c r="F8" s="19" t="inlineStr">
        <is>
          <t>💡 靈感池</t>
        </is>
      </c>
      <c r="G8" s="19" t="inlineStr"/>
      <c r="H8" s="19" t="inlineStr">
        <is>
          <t>BNotes</t>
        </is>
      </c>
      <c r="I8" s="19" t="inlineStr"/>
      <c r="J8" s="46" t="inlineStr"/>
      <c r="K8" s="19" t="inlineStr"/>
      <c r="L8" s="19" t="inlineStr"/>
      <c r="M8" s="19" t="inlineStr"/>
      <c r="N8" s="46" t="inlineStr"/>
    </row>
    <row r="9" ht="18" customHeight="1">
      <c r="A9" s="19" t="inlineStr">
        <is>
          <t>2026/01/15</t>
        </is>
      </c>
      <c r="B9" s="19" t="inlineStr">
        <is>
          <t>LinkedIn</t>
        </is>
      </c>
      <c r="C9" s="19" t="inlineStr">
        <is>
          <t>長文</t>
        </is>
      </c>
      <c r="D9" s="46" t="inlineStr">
        <is>
          <t>2026 台灣精品咖啡市場報告</t>
        </is>
      </c>
      <c r="E9" s="46" t="inlineStr">
        <is>
          <t>市場/精品咖啡/台灣</t>
        </is>
      </c>
      <c r="F9" s="19" t="inlineStr">
        <is>
          <t>💡 靈感池</t>
        </is>
      </c>
      <c r="G9" s="19" t="inlineStr"/>
      <c r="H9" s="19" t="inlineStr">
        <is>
          <t>BNotes</t>
        </is>
      </c>
      <c r="I9" s="19" t="inlineStr"/>
      <c r="J9" s="46" t="inlineStr"/>
      <c r="K9" s="19" t="inlineStr"/>
      <c r="L9" s="19" t="inlineStr"/>
      <c r="M9" s="19" t="inlineStr"/>
      <c r="N9" s="46" t="inlineStr">
        <is>
          <t>需要數據支撐</t>
        </is>
      </c>
    </row>
    <row r="10" ht="18" customHeight="1">
      <c r="A10" s="31" t="inlineStr">
        <is>
          <t>2026/01/18</t>
        </is>
      </c>
      <c r="B10" s="31" t="inlineStr">
        <is>
          <t>Podcast</t>
        </is>
      </c>
      <c r="C10" s="31" t="inlineStr">
        <is>
          <t>節目</t>
        </is>
      </c>
      <c r="D10" s="47" t="inlineStr">
        <is>
          <t>#2 咖啡師職涯路徑對談</t>
        </is>
      </c>
      <c r="E10" s="47" t="inlineStr">
        <is>
          <t>咖啡師/職涯</t>
        </is>
      </c>
      <c r="F10" s="31" t="inlineStr">
        <is>
          <t>📅 預定</t>
        </is>
      </c>
      <c r="G10" s="31" t="inlineStr">
        <is>
          <t>2026/02/10</t>
        </is>
      </c>
      <c r="H10" s="31" t="inlineStr">
        <is>
          <t>BNotes</t>
        </is>
      </c>
      <c r="I10" s="31" t="inlineStr"/>
      <c r="J10" s="47" t="inlineStr"/>
      <c r="K10" s="31" t="inlineStr"/>
      <c r="L10" s="31" t="inlineStr"/>
      <c r="M10" s="31" t="inlineStr"/>
      <c r="N10" s="47" t="inlineStr"/>
    </row>
    <row r="11" ht="18" customHeight="1">
      <c r="A11" s="19" t="inlineStr">
        <is>
          <t>2026/01/20</t>
        </is>
      </c>
      <c r="B11" s="19" t="inlineStr">
        <is>
          <t>YouTube</t>
        </is>
      </c>
      <c r="C11" s="19" t="inlineStr">
        <is>
          <t>Shorts</t>
        </is>
      </c>
      <c r="D11" s="46" t="inlineStr">
        <is>
          <t>冰滴咖啡 1 分鐘教學</t>
        </is>
      </c>
      <c r="E11" s="46" t="inlineStr">
        <is>
          <t>冰滴/冷萃/簡易</t>
        </is>
      </c>
      <c r="F11" s="19" t="inlineStr">
        <is>
          <t>💡 靈感池</t>
        </is>
      </c>
      <c r="G11" s="19" t="inlineStr"/>
      <c r="H11" s="19" t="inlineStr">
        <is>
          <t>BNotes</t>
        </is>
      </c>
      <c r="I11" s="19" t="inlineStr"/>
      <c r="J11" s="46" t="inlineStr"/>
      <c r="K11" s="19" t="inlineStr"/>
      <c r="L11" s="19" t="inlineStr"/>
      <c r="M11" s="19" t="inlineStr"/>
      <c r="N11" s="46" t="inlineStr"/>
    </row>
    <row r="12" ht="16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16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</row>
    <row r="14" ht="16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16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</row>
    <row r="16" ht="16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16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</row>
    <row r="18" ht="16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16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</row>
    <row r="20" ht="16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16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</row>
    <row r="22" ht="16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16" customHeight="1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</row>
    <row r="24" ht="16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16" customHeigh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</row>
    <row r="26" ht="16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16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</row>
    <row r="28" ht="16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16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</row>
    <row r="30" ht="16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16" customHeight="1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</row>
    <row r="32" ht="16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16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</row>
    <row r="34" ht="16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16" customHeight="1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</row>
    <row r="36" ht="16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16" customHeight="1">
      <c r="A37" s="35" t="n"/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</row>
    <row r="38" ht="16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16" customHeight="1">
      <c r="A39" s="35" t="n"/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 ht="16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16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</row>
    <row r="42" ht="16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16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</row>
    <row r="44" ht="16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16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</row>
    <row r="46" ht="16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  <row r="47" ht="16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</row>
    <row r="48" ht="16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</row>
    <row r="49" ht="16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</row>
    <row r="50" ht="16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</row>
    <row r="51" ht="16" customHeight="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</row>
    <row r="52" ht="16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</row>
    <row r="53" ht="16" customHeight="1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</row>
    <row r="54" ht="16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</row>
    <row r="55" ht="16" customHeight="1">
      <c r="A55" s="35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</row>
    <row r="56" ht="16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</row>
    <row r="57" ht="16" customHeight="1">
      <c r="A57" s="35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</row>
    <row r="58" ht="16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</row>
    <row r="59" ht="16" customHeight="1">
      <c r="A59" s="3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</row>
    <row r="60" ht="16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</row>
    <row r="61" ht="16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</row>
    <row r="62" ht="16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</row>
    <row r="63" ht="16" customHeight="1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</row>
    <row r="64" ht="16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</row>
    <row r="65" ht="16" customHeight="1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</row>
    <row r="66" ht="16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</row>
    <row r="67" ht="16" customHeight="1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</row>
    <row r="68" ht="16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</row>
    <row r="69" ht="16" customHeight="1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</row>
    <row r="70" ht="16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</row>
    <row r="71" ht="16" customHeight="1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</row>
    <row r="72" ht="16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</row>
    <row r="73" ht="16" customHeight="1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</row>
    <row r="74" ht="16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</row>
    <row r="75" ht="16" customHeight="1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</row>
    <row r="76" ht="16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</row>
    <row r="77" ht="16" customHeight="1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</row>
    <row r="78" ht="16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</row>
    <row r="79" ht="16" customHeight="1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</row>
    <row r="80" ht="16" customHeight="1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</row>
    <row r="81" ht="16" customHeight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</row>
    <row r="82" ht="16" customHeight="1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</row>
    <row r="83" ht="16" customHeight="1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</row>
    <row r="84" ht="16" customHeight="1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</row>
    <row r="85" ht="16" customHeight="1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</row>
    <row r="86" ht="16" customHeight="1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</row>
    <row r="87" ht="16" customHeight="1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</row>
    <row r="88" ht="16" customHeight="1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</row>
    <row r="89" ht="16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</row>
    <row r="90" ht="16" customHeight="1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</row>
    <row r="91" ht="16" customHeight="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</row>
    <row r="92" ht="16" customHeight="1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</row>
    <row r="93" ht="16" customHeight="1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</row>
    <row r="94" ht="16" customHeight="1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</row>
    <row r="95" ht="16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</row>
    <row r="96" ht="16" customHeight="1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</row>
    <row r="97" ht="16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</row>
    <row r="98" ht="16" customHeight="1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</row>
    <row r="99" ht="16" customHeight="1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</row>
  </sheetData>
  <mergeCells count="6">
    <mergeCell ref="M2:N2"/>
    <mergeCell ref="A2:B2"/>
    <mergeCell ref="D2:E2"/>
    <mergeCell ref="G2:H2"/>
    <mergeCell ref="J2:K2"/>
    <mergeCell ref="A1:N1"/>
  </mergeCells>
  <dataValidations count="2">
    <dataValidation sqref="F5:F300" showDropDown="0" showInputMessage="0" showErrorMessage="0" allowBlank="1" type="list">
      <formula1>"✅ 已發佈,🔄 進行中,💡 靈感池,❌ 取消,📅 預定"</formula1>
    </dataValidation>
    <dataValidation sqref="M5:M300" showDropDown="0" showInputMessage="0" showErrorMessage="0" allowBlank="1" type="list">
      <formula1>"🔥 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4" customWidth="1" min="4" max="4"/>
    <col width="12" customWidth="1" min="5" max="5"/>
    <col width="24" customWidth="1" min="6" max="6"/>
    <col width="13" customWidth="1" min="7" max="7"/>
    <col width="12" customWidth="1" min="8" max="8"/>
    <col width="15" customWidth="1" min="9" max="9"/>
    <col width="12" customWidth="1" min="10" max="10"/>
    <col width="10" customWidth="1" min="11" max="11"/>
    <col width="12" customWidth="1" min="12" max="12"/>
    <col width="20" customWidth="1" min="13" max="13"/>
    <col width="14" customWidth="1" min="14" max="14"/>
  </cols>
  <sheetData>
    <row r="1" ht="38" customHeight="1">
      <c r="A1" s="20" t="inlineStr">
        <is>
          <t>🤝  BNotes 品牌合作管道  |  收益追蹤</t>
        </is>
      </c>
    </row>
    <row r="3" ht="22" customHeight="1">
      <c r="A3" s="21" t="inlineStr">
        <is>
          <t>本年合作次數</t>
        </is>
      </c>
      <c r="D3" s="48" t="inlineStr">
        <is>
          <t>本年總收益 (TWD)</t>
        </is>
      </c>
      <c r="G3" s="24" t="inlineStr">
        <is>
          <t>平均合作費用</t>
        </is>
      </c>
      <c r="J3" s="25" t="inlineStr">
        <is>
          <t>進行中案件</t>
        </is>
      </c>
      <c r="M3" s="49">
        <f>COUNTIF(H6:H300,"🔄 進行中")</f>
        <v/>
      </c>
    </row>
    <row r="5" ht="20" customHeight="1">
      <c r="A5" s="38" t="inlineStr">
        <is>
          <t>洽詢日期</t>
        </is>
      </c>
      <c r="B5" s="38" t="inlineStr">
        <is>
          <t>品牌名稱</t>
        </is>
      </c>
      <c r="C5" s="38" t="inlineStr">
        <is>
          <t>產業類別</t>
        </is>
      </c>
      <c r="D5" s="38" t="inlineStr">
        <is>
          <t>合作形式</t>
        </is>
      </c>
      <c r="E5" s="38" t="inlineStr">
        <is>
          <t>平台</t>
        </is>
      </c>
      <c r="F5" s="38" t="inlineStr">
        <is>
          <t>合作內容摘要</t>
        </is>
      </c>
      <c r="G5" s="38" t="inlineStr">
        <is>
          <t>報價(TWD)</t>
        </is>
      </c>
      <c r="H5" s="38" t="inlineStr">
        <is>
          <t>狀態</t>
        </is>
      </c>
      <c r="I5" s="38" t="inlineStr">
        <is>
          <t>實際收款(TWD)</t>
        </is>
      </c>
      <c r="J5" s="38" t="inlineStr">
        <is>
          <t>付款日期</t>
        </is>
      </c>
      <c r="K5" s="38" t="inlineStr">
        <is>
          <t>合約簽訂</t>
        </is>
      </c>
      <c r="L5" s="38" t="inlineStr">
        <is>
          <t>聯絡人</t>
        </is>
      </c>
      <c r="M5" s="38" t="inlineStr">
        <is>
          <t>聯絡方式</t>
        </is>
      </c>
      <c r="N5" s="38" t="inlineStr">
        <is>
          <t>備註</t>
        </is>
      </c>
    </row>
    <row r="6" ht="18" customHeight="1">
      <c r="A6" s="27" t="inlineStr">
        <is>
          <t>2026/01/10</t>
        </is>
      </c>
      <c r="B6" s="28" t="inlineStr">
        <is>
          <t>咖啡豆品牌A</t>
        </is>
      </c>
      <c r="C6" s="27" t="inlineStr">
        <is>
          <t>食品/咖啡</t>
        </is>
      </c>
      <c r="D6" s="27" t="inlineStr">
        <is>
          <t>業配貼文</t>
        </is>
      </c>
      <c r="E6" s="27" t="inlineStr">
        <is>
          <t>Instagram</t>
        </is>
      </c>
      <c r="F6" s="28" t="inlineStr">
        <is>
          <t>3 則限時 + 1 則 Reels</t>
        </is>
      </c>
      <c r="G6" s="50" t="inlineStr">
        <is>
          <t>15000</t>
        </is>
      </c>
      <c r="H6" s="27" t="inlineStr">
        <is>
          <t>✅ 已完成</t>
        </is>
      </c>
      <c r="I6" s="50" t="inlineStr">
        <is>
          <t>15000</t>
        </is>
      </c>
      <c r="J6" s="27" t="inlineStr">
        <is>
          <t>2026/02/05</t>
        </is>
      </c>
      <c r="K6" s="27" t="inlineStr">
        <is>
          <t>是</t>
        </is>
      </c>
      <c r="L6" s="27" t="inlineStr">
        <is>
          <t>陳小姐</t>
        </is>
      </c>
      <c r="M6" s="28" t="inlineStr">
        <is>
          <t>chen@brand.com</t>
        </is>
      </c>
      <c r="N6" s="28" t="inlineStr">
        <is>
          <t>首次合作</t>
        </is>
      </c>
    </row>
    <row r="7" ht="18" customHeight="1">
      <c r="A7" s="27" t="inlineStr">
        <is>
          <t>2026/01/18</t>
        </is>
      </c>
      <c r="B7" s="28" t="inlineStr">
        <is>
          <t>器具品牌B</t>
        </is>
      </c>
      <c r="C7" s="27" t="inlineStr">
        <is>
          <t>咖啡器具</t>
        </is>
      </c>
      <c r="D7" s="27" t="inlineStr">
        <is>
          <t>開箱評測</t>
        </is>
      </c>
      <c r="E7" s="27" t="inlineStr">
        <is>
          <t>YouTube</t>
        </is>
      </c>
      <c r="F7" s="28" t="inlineStr">
        <is>
          <t>10 分鐘開箱影片</t>
        </is>
      </c>
      <c r="G7" s="50" t="inlineStr">
        <is>
          <t>25000</t>
        </is>
      </c>
      <c r="H7" s="27" t="inlineStr">
        <is>
          <t>✅ 已完成</t>
        </is>
      </c>
      <c r="I7" s="50" t="inlineStr">
        <is>
          <t>25000</t>
        </is>
      </c>
      <c r="J7" s="27" t="inlineStr">
        <is>
          <t>2026/02/18</t>
        </is>
      </c>
      <c r="K7" s="27" t="inlineStr">
        <is>
          <t>是</t>
        </is>
      </c>
      <c r="L7" s="27" t="inlineStr">
        <is>
          <t>王先生</t>
        </is>
      </c>
      <c r="M7" s="28" t="inlineStr">
        <is>
          <t>wang@gear.com</t>
        </is>
      </c>
      <c r="N7" s="28" t="inlineStr">
        <is>
          <t>附 affiliate link</t>
        </is>
      </c>
    </row>
    <row r="8" ht="18" customHeight="1">
      <c r="A8" s="29" t="inlineStr">
        <is>
          <t>2026/02/05</t>
        </is>
      </c>
      <c r="B8" s="30" t="inlineStr">
        <is>
          <t>訂閱制品牌C</t>
        </is>
      </c>
      <c r="C8" s="29" t="inlineStr">
        <is>
          <t>電商</t>
        </is>
      </c>
      <c r="D8" s="29" t="inlineStr">
        <is>
          <t>Newsletter 廣告</t>
        </is>
      </c>
      <c r="E8" s="29" t="inlineStr">
        <is>
          <t>Newsletter</t>
        </is>
      </c>
      <c r="F8" s="30" t="inlineStr">
        <is>
          <t>EDM 廣告位（3 期）</t>
        </is>
      </c>
      <c r="G8" s="51" t="inlineStr">
        <is>
          <t>18000</t>
        </is>
      </c>
      <c r="H8" s="29" t="inlineStr">
        <is>
          <t>🔄 進行中</t>
        </is>
      </c>
      <c r="I8" s="51" t="inlineStr"/>
      <c r="J8" s="29" t="inlineStr"/>
      <c r="K8" s="29" t="inlineStr">
        <is>
          <t>否</t>
        </is>
      </c>
      <c r="L8" s="29" t="inlineStr">
        <is>
          <t>林小姐</t>
        </is>
      </c>
      <c r="M8" s="30" t="inlineStr">
        <is>
          <t>lin@sub.com</t>
        </is>
      </c>
      <c r="N8" s="30" t="inlineStr">
        <is>
          <t>草稿審核中</t>
        </is>
      </c>
    </row>
    <row r="9" ht="18" customHeight="1">
      <c r="A9" s="29" t="inlineStr">
        <is>
          <t>2026/02/15</t>
        </is>
      </c>
      <c r="B9" s="30" t="inlineStr">
        <is>
          <t>咖啡豆品牌D</t>
        </is>
      </c>
      <c r="C9" s="29" t="inlineStr">
        <is>
          <t>食品/咖啡</t>
        </is>
      </c>
      <c r="D9" s="29" t="inlineStr">
        <is>
          <t>長期大使</t>
        </is>
      </c>
      <c r="E9" s="29" t="inlineStr">
        <is>
          <t>IG + NL</t>
        </is>
      </c>
      <c r="F9" s="30" t="inlineStr">
        <is>
          <t>3個月合作計畫</t>
        </is>
      </c>
      <c r="G9" s="51" t="inlineStr">
        <is>
          <t>60000</t>
        </is>
      </c>
      <c r="H9" s="29" t="inlineStr">
        <is>
          <t>🔄 進行中</t>
        </is>
      </c>
      <c r="I9" s="51" t="inlineStr"/>
      <c r="J9" s="29" t="inlineStr"/>
      <c r="K9" s="29" t="inlineStr">
        <is>
          <t>否</t>
        </is>
      </c>
      <c r="L9" s="29" t="inlineStr">
        <is>
          <t>黃先生</t>
        </is>
      </c>
      <c r="M9" s="30" t="inlineStr">
        <is>
          <t>huang@d.com</t>
        </is>
      </c>
      <c r="N9" s="30" t="inlineStr">
        <is>
          <t>談判中</t>
        </is>
      </c>
    </row>
    <row r="10" ht="18" customHeight="1">
      <c r="A10" s="33" t="inlineStr">
        <is>
          <t>2026/03/01</t>
        </is>
      </c>
      <c r="B10" s="34" t="inlineStr">
        <is>
          <t>器具品牌E</t>
        </is>
      </c>
      <c r="C10" s="33" t="inlineStr">
        <is>
          <t>咖啡器具</t>
        </is>
      </c>
      <c r="D10" s="33" t="inlineStr">
        <is>
          <t>Podcast 贊助</t>
        </is>
      </c>
      <c r="E10" s="33" t="inlineStr">
        <is>
          <t>Podcast</t>
        </is>
      </c>
      <c r="F10" s="34" t="inlineStr">
        <is>
          <t>S1 全季贊助商</t>
        </is>
      </c>
      <c r="G10" s="52" t="inlineStr">
        <is>
          <t>30000</t>
        </is>
      </c>
      <c r="H10" s="33" t="inlineStr">
        <is>
          <t>💡 洽談中</t>
        </is>
      </c>
      <c r="I10" s="52" t="inlineStr"/>
      <c r="J10" s="33" t="inlineStr"/>
      <c r="K10" s="33" t="inlineStr">
        <is>
          <t>否</t>
        </is>
      </c>
      <c r="L10" s="33" t="inlineStr">
        <is>
          <t>張小姐</t>
        </is>
      </c>
      <c r="M10" s="34" t="inlineStr">
        <is>
          <t>chang@e.com</t>
        </is>
      </c>
      <c r="N10" s="34" t="inlineStr">
        <is>
          <t>等待提案</t>
        </is>
      </c>
    </row>
    <row r="11" ht="16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</row>
    <row r="12" ht="16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16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</row>
    <row r="14" ht="16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16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</row>
    <row r="16" ht="16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16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</row>
    <row r="18" ht="16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16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</row>
    <row r="20" ht="16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16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</row>
    <row r="22" ht="16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16" customHeight="1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</row>
    <row r="24" ht="16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16" customHeigh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</row>
    <row r="26" ht="16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16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</row>
    <row r="28" ht="16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16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</row>
    <row r="30" ht="16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16" customHeight="1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</row>
    <row r="32" ht="16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16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</row>
    <row r="34" ht="16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16" customHeight="1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</row>
    <row r="36" ht="16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16" customHeight="1">
      <c r="A37" s="35" t="n"/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</row>
    <row r="38" ht="16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16" customHeight="1">
      <c r="A39" s="35" t="n"/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 ht="16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16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</row>
    <row r="42" ht="16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16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</row>
    <row r="44" ht="16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16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</row>
    <row r="46" ht="16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  <row r="47" ht="16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</row>
    <row r="48" ht="16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</row>
    <row r="49" ht="16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</row>
    <row r="50" ht="16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</row>
    <row r="51" ht="16" customHeight="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</row>
    <row r="52" ht="16" customHeight="1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</row>
    <row r="53" ht="16" customHeight="1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</row>
    <row r="54" ht="16" customHeight="1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</row>
    <row r="55" ht="16" customHeight="1">
      <c r="A55" s="35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</row>
    <row r="56" ht="16" customHeight="1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</row>
    <row r="57" ht="16" customHeight="1">
      <c r="A57" s="35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</row>
    <row r="58" ht="16" customHeight="1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</row>
    <row r="59" ht="16" customHeight="1">
      <c r="A59" s="3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</row>
    <row r="60" ht="16" customHeight="1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</row>
    <row r="61" ht="16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</row>
    <row r="62" ht="16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</row>
    <row r="63" ht="16" customHeight="1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</row>
    <row r="64" ht="16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</row>
    <row r="65" ht="16" customHeight="1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</row>
    <row r="66" ht="16" customHeight="1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</row>
    <row r="67" ht="16" customHeight="1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</row>
    <row r="68" ht="16" customHeight="1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</row>
    <row r="69" ht="16" customHeight="1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</row>
    <row r="70" ht="16" customHeight="1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</row>
    <row r="71" ht="16" customHeight="1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</row>
    <row r="72" ht="16" customHeight="1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</row>
    <row r="73" ht="16" customHeight="1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</row>
    <row r="74" ht="16" customHeight="1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</row>
    <row r="75" ht="16" customHeight="1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</row>
    <row r="76" ht="16" customHeight="1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</row>
    <row r="77" ht="16" customHeight="1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</row>
    <row r="78" ht="16" customHeight="1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</row>
    <row r="79" ht="16" customHeight="1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</row>
  </sheetData>
  <mergeCells count="5">
    <mergeCell ref="D3:F3"/>
    <mergeCell ref="A3:C3"/>
    <mergeCell ref="G3:I3"/>
    <mergeCell ref="J3:L3"/>
    <mergeCell ref="A1:N1"/>
  </mergeCells>
  <dataValidations count="1">
    <dataValidation sqref="H6:H300" showDropDown="0" showInputMessage="0" showErrorMessage="0" allowBlank="1" type="list">
      <formula1>"✅ 已完成,🔄 進行中,💡 洽談中,❌ 取消,📅 待確認"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8" customHeight="1">
      <c r="A1" s="20" t="inlineStr">
        <is>
          <t>🎯  BNotes 2026 年度 OKR  |  目標 × 實際進度</t>
        </is>
      </c>
    </row>
    <row r="3" ht="20" customHeight="1">
      <c r="A3" s="38" t="inlineStr">
        <is>
          <t>目標 (Objective)</t>
        </is>
      </c>
      <c r="B3" s="38" t="inlineStr">
        <is>
          <t>KR編號</t>
        </is>
      </c>
      <c r="C3" s="38" t="inlineStr">
        <is>
          <t>關鍵結果 (Key Result)</t>
        </is>
      </c>
      <c r="D3" s="38" t="inlineStr">
        <is>
          <t>年度目標值</t>
        </is>
      </c>
      <c r="E3" s="38" t="inlineStr">
        <is>
          <t>Q1目標</t>
        </is>
      </c>
      <c r="F3" s="38" t="inlineStr">
        <is>
          <t>Q1實際</t>
        </is>
      </c>
      <c r="G3" s="38" t="inlineStr">
        <is>
          <t>Q2目標</t>
        </is>
      </c>
      <c r="H3" s="38" t="inlineStr">
        <is>
          <t>Q2實際</t>
        </is>
      </c>
      <c r="I3" s="38" t="inlineStr">
        <is>
          <t>Q3目標</t>
        </is>
      </c>
      <c r="J3" s="38" t="inlineStr">
        <is>
          <t>Q3實際</t>
        </is>
      </c>
      <c r="K3" s="38" t="inlineStr">
        <is>
          <t>Q4目標</t>
        </is>
      </c>
      <c r="L3" s="38" t="inlineStr">
        <is>
          <t>Q4實際</t>
        </is>
      </c>
      <c r="M3" s="38" t="inlineStr">
        <is>
          <t>完成率%</t>
        </is>
      </c>
    </row>
    <row r="4" ht="18" customHeight="1">
      <c r="A4" s="53" t="inlineStr">
        <is>
          <t>O1: 建立品牌認知度</t>
        </is>
      </c>
      <c r="B4" s="54" t="inlineStr">
        <is>
          <t>KR1.1</t>
        </is>
      </c>
      <c r="C4" s="55" t="inlineStr">
        <is>
          <t>Instagram 追蹤者達到 X 人</t>
        </is>
      </c>
      <c r="D4" s="54" t="inlineStr">
        <is>
          <t>填入目標數</t>
        </is>
      </c>
      <c r="E4" s="54" t="inlineStr">
        <is>
          <t>25%</t>
        </is>
      </c>
      <c r="F4" s="54" t="inlineStr">
        <is>
          <t>50%</t>
        </is>
      </c>
      <c r="G4" s="54" t="inlineStr">
        <is>
          <t>75%</t>
        </is>
      </c>
      <c r="H4" s="54" t="inlineStr">
        <is>
          <t>100%</t>
        </is>
      </c>
      <c r="M4" s="56" t="inlineStr">
        <is>
          <t>填入%</t>
        </is>
      </c>
    </row>
    <row r="5" ht="18" customHeight="1">
      <c r="A5" s="53" t="inlineStr">
        <is>
          <t>O1: 建立品牌認知度</t>
        </is>
      </c>
      <c r="B5" s="54" t="inlineStr">
        <is>
          <t>KR1.2</t>
        </is>
      </c>
      <c r="C5" s="55" t="inlineStr">
        <is>
          <t>YouTube 訂閱數達到 X 人</t>
        </is>
      </c>
      <c r="D5" s="54" t="inlineStr">
        <is>
          <t>填入目標數</t>
        </is>
      </c>
      <c r="E5" s="54" t="inlineStr">
        <is>
          <t>25%</t>
        </is>
      </c>
      <c r="F5" s="54" t="inlineStr">
        <is>
          <t>50%</t>
        </is>
      </c>
      <c r="G5" s="54" t="inlineStr">
        <is>
          <t>75%</t>
        </is>
      </c>
      <c r="H5" s="54" t="inlineStr">
        <is>
          <t>100%</t>
        </is>
      </c>
      <c r="M5" s="56" t="inlineStr">
        <is>
          <t>填入%</t>
        </is>
      </c>
    </row>
    <row r="6" ht="18" customHeight="1">
      <c r="A6" s="53" t="inlineStr">
        <is>
          <t>O1: 建立品牌認知度</t>
        </is>
      </c>
      <c r="B6" s="54" t="inlineStr">
        <is>
          <t>KR1.3</t>
        </is>
      </c>
      <c r="C6" s="55" t="inlineStr">
        <is>
          <t>月均觸及達到 X 萬人次</t>
        </is>
      </c>
      <c r="D6" s="54" t="inlineStr">
        <is>
          <t>填入目標數</t>
        </is>
      </c>
      <c r="E6" s="54" t="inlineStr">
        <is>
          <t>Q1 基準</t>
        </is>
      </c>
      <c r="F6" s="54" t="inlineStr">
        <is>
          <t>Q2 目標</t>
        </is>
      </c>
      <c r="G6" s="54" t="inlineStr">
        <is>
          <t>Q3 目標</t>
        </is>
      </c>
      <c r="H6" s="54" t="inlineStr">
        <is>
          <t>Q4 目標</t>
        </is>
      </c>
      <c r="M6" s="56" t="inlineStr">
        <is>
          <t>填入%</t>
        </is>
      </c>
    </row>
    <row r="7" ht="18" customHeight="1">
      <c r="A7" s="57" t="inlineStr">
        <is>
          <t>O2: 擴大 Newsletter 影響力</t>
        </is>
      </c>
      <c r="B7" s="58" t="inlineStr">
        <is>
          <t>KR2.1</t>
        </is>
      </c>
      <c r="C7" s="45" t="inlineStr">
        <is>
          <t>Newsletter 訂閱數達到 X 人</t>
        </is>
      </c>
      <c r="D7" s="58" t="inlineStr">
        <is>
          <t>填入目標數</t>
        </is>
      </c>
      <c r="E7" s="58" t="inlineStr">
        <is>
          <t>25%</t>
        </is>
      </c>
      <c r="F7" s="58" t="inlineStr">
        <is>
          <t>50%</t>
        </is>
      </c>
      <c r="G7" s="58" t="inlineStr">
        <is>
          <t>75%</t>
        </is>
      </c>
      <c r="H7" s="58" t="inlineStr">
        <is>
          <t>100%</t>
        </is>
      </c>
      <c r="M7" s="56" t="inlineStr">
        <is>
          <t>填入%</t>
        </is>
      </c>
    </row>
    <row r="8" ht="18" customHeight="1">
      <c r="A8" s="57" t="inlineStr">
        <is>
          <t>O2: 擴大 Newsletter 影響力</t>
        </is>
      </c>
      <c r="B8" s="58" t="inlineStr">
        <is>
          <t>KR2.2</t>
        </is>
      </c>
      <c r="C8" s="45" t="inlineStr">
        <is>
          <t>開信率維持在 X% 以上</t>
        </is>
      </c>
      <c r="D8" s="58" t="inlineStr">
        <is>
          <t>填入目標值</t>
        </is>
      </c>
      <c r="E8" s="58" t="inlineStr">
        <is>
          <t>Q1均值</t>
        </is>
      </c>
      <c r="F8" s="58" t="inlineStr">
        <is>
          <t>Q2均值</t>
        </is>
      </c>
      <c r="G8" s="58" t="inlineStr">
        <is>
          <t>Q3均值</t>
        </is>
      </c>
      <c r="H8" s="58" t="inlineStr">
        <is>
          <t>Q4均值</t>
        </is>
      </c>
      <c r="M8" s="56" t="inlineStr">
        <is>
          <t>填入%</t>
        </is>
      </c>
    </row>
    <row r="9" ht="18" customHeight="1">
      <c r="A9" s="57" t="inlineStr">
        <is>
          <t>O2: 擴大 Newsletter 影響力</t>
        </is>
      </c>
      <c r="B9" s="58" t="inlineStr">
        <is>
          <t>KR2.3</t>
        </is>
      </c>
      <c r="C9" s="45" t="inlineStr">
        <is>
          <t>點擊率維持在 X% 以上</t>
        </is>
      </c>
      <c r="D9" s="58" t="inlineStr">
        <is>
          <t>填入目標值</t>
        </is>
      </c>
      <c r="E9" s="58" t="inlineStr">
        <is>
          <t>Q1均值</t>
        </is>
      </c>
      <c r="F9" s="58" t="inlineStr">
        <is>
          <t>Q2均值</t>
        </is>
      </c>
      <c r="G9" s="58" t="inlineStr">
        <is>
          <t>Q3均值</t>
        </is>
      </c>
      <c r="H9" s="58" t="inlineStr">
        <is>
          <t>Q4均值</t>
        </is>
      </c>
      <c r="M9" s="56" t="inlineStr">
        <is>
          <t>填入%</t>
        </is>
      </c>
    </row>
    <row r="10" ht="18" customHeight="1">
      <c r="A10" s="59" t="inlineStr">
        <is>
          <t>O3: 建立穩定營收模式</t>
        </is>
      </c>
      <c r="B10" s="60" t="inlineStr">
        <is>
          <t>KR3.1</t>
        </is>
      </c>
      <c r="C10" s="61" t="inlineStr">
        <is>
          <t>品牌合作年度總收益 TWD X 萬</t>
        </is>
      </c>
      <c r="D10" s="60" t="inlineStr">
        <is>
          <t>填入目標數</t>
        </is>
      </c>
      <c r="E10" s="60" t="inlineStr">
        <is>
          <t>Q1目標</t>
        </is>
      </c>
      <c r="F10" s="60" t="inlineStr">
        <is>
          <t>Q2目標</t>
        </is>
      </c>
      <c r="G10" s="60" t="inlineStr">
        <is>
          <t>Q3目標</t>
        </is>
      </c>
      <c r="H10" s="60" t="inlineStr">
        <is>
          <t>Q4目標</t>
        </is>
      </c>
      <c r="M10" s="56" t="inlineStr">
        <is>
          <t>填入%</t>
        </is>
      </c>
    </row>
    <row r="11" ht="18" customHeight="1">
      <c r="A11" s="59" t="inlineStr">
        <is>
          <t>O3: 建立穩定營收模式</t>
        </is>
      </c>
      <c r="B11" s="60" t="inlineStr">
        <is>
          <t>KR3.2</t>
        </is>
      </c>
      <c r="C11" s="61" t="inlineStr">
        <is>
          <t>完成品牌合作 X 次（全年）</t>
        </is>
      </c>
      <c r="D11" s="60" t="inlineStr">
        <is>
          <t>填入目標數</t>
        </is>
      </c>
      <c r="E11" s="60" t="inlineStr">
        <is>
          <t>X次</t>
        </is>
      </c>
      <c r="F11" s="60" t="inlineStr">
        <is>
          <t>X次</t>
        </is>
      </c>
      <c r="G11" s="60" t="inlineStr">
        <is>
          <t>X次</t>
        </is>
      </c>
      <c r="H11" s="60" t="inlineStr">
        <is>
          <t>X次</t>
        </is>
      </c>
      <c r="M11" s="56" t="inlineStr">
        <is>
          <t>填入%</t>
        </is>
      </c>
    </row>
    <row r="12" ht="18" customHeight="1">
      <c r="A12" s="59" t="inlineStr">
        <is>
          <t>O3: 建立穩定營收模式</t>
        </is>
      </c>
      <c r="B12" s="60" t="inlineStr">
        <is>
          <t>KR3.3</t>
        </is>
      </c>
      <c r="C12" s="61" t="inlineStr">
        <is>
          <t>建立至少 2 個被動收益渠道</t>
        </is>
      </c>
      <c r="D12" s="60" t="inlineStr">
        <is>
          <t>2 個渠道</t>
        </is>
      </c>
      <c r="E12" s="60" t="inlineStr">
        <is>
          <t>調研</t>
        </is>
      </c>
      <c r="F12" s="60" t="inlineStr">
        <is>
          <t>建立#1</t>
        </is>
      </c>
      <c r="G12" s="60" t="inlineStr">
        <is>
          <t>建立#2</t>
        </is>
      </c>
      <c r="H12" s="60" t="inlineStr">
        <is>
          <t>優化</t>
        </is>
      </c>
      <c r="M12" s="56" t="inlineStr">
        <is>
          <t>填入%</t>
        </is>
      </c>
    </row>
    <row r="13" ht="18" customHeight="1">
      <c r="A13" s="62" t="inlineStr">
        <is>
          <t>O4: 提升內容質量與生產效率</t>
        </is>
      </c>
      <c r="B13" s="63" t="inlineStr">
        <is>
          <t>KR4.1</t>
        </is>
      </c>
      <c r="C13" s="64" t="inlineStr">
        <is>
          <t>爆款率（互動前10%）達 X%</t>
        </is>
      </c>
      <c r="D13" s="63" t="inlineStr">
        <is>
          <t>填入目標值</t>
        </is>
      </c>
      <c r="E13" s="63" t="inlineStr">
        <is>
          <t>Q1均值</t>
        </is>
      </c>
      <c r="F13" s="63" t="inlineStr">
        <is>
          <t>Q2均值</t>
        </is>
      </c>
      <c r="G13" s="63" t="inlineStr">
        <is>
          <t>Q3均值</t>
        </is>
      </c>
      <c r="H13" s="63" t="inlineStr">
        <is>
          <t>Q4均值</t>
        </is>
      </c>
      <c r="M13" s="56" t="inlineStr">
        <is>
          <t>填入%</t>
        </is>
      </c>
    </row>
    <row r="14" ht="18" customHeight="1">
      <c r="A14" s="62" t="inlineStr">
        <is>
          <t>O4: 提升內容質量與生產效率</t>
        </is>
      </c>
      <c r="B14" s="63" t="inlineStr">
        <is>
          <t>KR4.2</t>
        </is>
      </c>
      <c r="C14" s="64" t="inlineStr">
        <is>
          <t>每月發佈內容 X 則（跨平台）</t>
        </is>
      </c>
      <c r="D14" s="63" t="inlineStr">
        <is>
          <t>填入目標數</t>
        </is>
      </c>
      <c r="E14" s="63" t="inlineStr">
        <is>
          <t>X則</t>
        </is>
      </c>
      <c r="F14" s="63" t="inlineStr">
        <is>
          <t>X則</t>
        </is>
      </c>
      <c r="G14" s="63" t="inlineStr">
        <is>
          <t>X則</t>
        </is>
      </c>
      <c r="H14" s="63" t="inlineStr">
        <is>
          <t>X則</t>
        </is>
      </c>
      <c r="M14" s="56" t="inlineStr">
        <is>
          <t>填入%</t>
        </is>
      </c>
    </row>
    <row r="15" ht="18" customHeight="1">
      <c r="A15" s="62" t="inlineStr">
        <is>
          <t>O4: 提升內容質量與生產效率</t>
        </is>
      </c>
      <c r="B15" s="63" t="inlineStr">
        <is>
          <t>KR4.3</t>
        </is>
      </c>
      <c r="C15" s="64" t="inlineStr">
        <is>
          <t>SEO 自然流量月均達 X UV</t>
        </is>
      </c>
      <c r="D15" s="63" t="inlineStr">
        <is>
          <t>填入目標數</t>
        </is>
      </c>
      <c r="E15" s="63" t="inlineStr">
        <is>
          <t>基準</t>
        </is>
      </c>
      <c r="F15" s="63" t="inlineStr">
        <is>
          <t>Q2目標</t>
        </is>
      </c>
      <c r="G15" s="63" t="inlineStr">
        <is>
          <t>Q3目標</t>
        </is>
      </c>
      <c r="H15" s="63" t="inlineStr">
        <is>
          <t>Q4目標</t>
        </is>
      </c>
      <c r="M15" s="56" t="inlineStr">
        <is>
          <t>填入%</t>
        </is>
      </c>
    </row>
    <row r="16" ht="18" customHeight="1">
      <c r="A16" s="65" t="inlineStr">
        <is>
          <t>O5: 深化社群互動品質</t>
        </is>
      </c>
      <c r="B16" s="66" t="inlineStr">
        <is>
          <t>KR5.1</t>
        </is>
      </c>
      <c r="C16" s="67" t="inlineStr">
        <is>
          <t>互動率維持在 X% 以上</t>
        </is>
      </c>
      <c r="D16" s="66" t="inlineStr">
        <is>
          <t>填入目標值</t>
        </is>
      </c>
      <c r="E16" s="66" t="inlineStr">
        <is>
          <t>Q1均值</t>
        </is>
      </c>
      <c r="F16" s="66" t="inlineStr">
        <is>
          <t>Q2均值</t>
        </is>
      </c>
      <c r="G16" s="66" t="inlineStr">
        <is>
          <t>Q3均值</t>
        </is>
      </c>
      <c r="H16" s="66" t="inlineStr">
        <is>
          <t>Q4均值</t>
        </is>
      </c>
      <c r="M16" s="56" t="inlineStr">
        <is>
          <t>填入%</t>
        </is>
      </c>
    </row>
    <row r="17" ht="18" customHeight="1">
      <c r="A17" s="65" t="inlineStr">
        <is>
          <t>O5: 深化社群互動品質</t>
        </is>
      </c>
      <c r="B17" s="66" t="inlineStr">
        <is>
          <t>KR5.2</t>
        </is>
      </c>
      <c r="C17" s="67" t="inlineStr">
        <is>
          <t>Podcast 累積收聽 X 次</t>
        </is>
      </c>
      <c r="D17" s="66" t="inlineStr">
        <is>
          <t>填入目標數</t>
        </is>
      </c>
      <c r="E17" s="66" t="inlineStr">
        <is>
          <t>25%</t>
        </is>
      </c>
      <c r="F17" s="66" t="inlineStr">
        <is>
          <t>50%</t>
        </is>
      </c>
      <c r="G17" s="66" t="inlineStr">
        <is>
          <t>75%</t>
        </is>
      </c>
      <c r="H17" s="66" t="inlineStr">
        <is>
          <t>100%</t>
        </is>
      </c>
      <c r="M17" s="56" t="inlineStr">
        <is>
          <t>填入%</t>
        </is>
      </c>
    </row>
    <row r="18" ht="18" customHeight="1">
      <c r="A18" s="65" t="inlineStr">
        <is>
          <t>O5: 深化社群互動品質</t>
        </is>
      </c>
      <c r="B18" s="66" t="inlineStr">
        <is>
          <t>KR5.3</t>
        </is>
      </c>
      <c r="C18" s="67" t="inlineStr">
        <is>
          <t>完成 X 次社群活動/直播</t>
        </is>
      </c>
      <c r="D18" s="66" t="inlineStr">
        <is>
          <t>填入目標數</t>
        </is>
      </c>
      <c r="E18" s="66" t="inlineStr">
        <is>
          <t>X次</t>
        </is>
      </c>
      <c r="F18" s="66" t="inlineStr">
        <is>
          <t>X次</t>
        </is>
      </c>
      <c r="G18" s="66" t="inlineStr">
        <is>
          <t>X次</t>
        </is>
      </c>
      <c r="H18" s="66" t="inlineStr">
        <is>
          <t>X次</t>
        </is>
      </c>
      <c r="M18" s="56" t="inlineStr">
        <is>
          <t>填入%</t>
        </is>
      </c>
    </row>
    <row r="21" ht="22" customHeight="1">
      <c r="A21" s="37" t="inlineStr">
        <is>
          <t>📋 季度復盤摘要（季末填寫）</t>
        </is>
      </c>
    </row>
    <row r="22" ht="20" customHeight="1">
      <c r="A22" s="3" t="inlineStr">
        <is>
          <t>季度</t>
        </is>
      </c>
      <c r="B22" s="3" t="inlineStr">
        <is>
          <t>亮點（達成）</t>
        </is>
      </c>
      <c r="C22" s="3" t="inlineStr">
        <is>
          <t>待改進事項</t>
        </is>
      </c>
      <c r="D22" s="3" t="inlineStr">
        <is>
          <t>Q+1 調整重點</t>
        </is>
      </c>
    </row>
    <row r="23" ht="40" customHeight="1">
      <c r="A23" s="46" t="inlineStr">
        <is>
          <t>Q1（1-3月）</t>
        </is>
      </c>
      <c r="B23" s="46" t="n"/>
      <c r="C23" s="68" t="n"/>
      <c r="D23" s="68" t="n"/>
      <c r="E23" s="68" t="n"/>
      <c r="F23" s="68" t="n"/>
    </row>
    <row r="24" ht="40" customHeight="1">
      <c r="A24" s="69" t="inlineStr">
        <is>
          <t>Q2（4-6月）</t>
        </is>
      </c>
      <c r="B24" s="69" t="n"/>
      <c r="C24" s="68" t="n"/>
      <c r="D24" s="68" t="n"/>
      <c r="E24" s="68" t="n"/>
      <c r="F24" s="68" t="n"/>
    </row>
    <row r="25" ht="40" customHeight="1">
      <c r="A25" s="46" t="inlineStr">
        <is>
          <t>Q3（7-9月）</t>
        </is>
      </c>
      <c r="B25" s="46" t="n"/>
      <c r="C25" s="68" t="n"/>
      <c r="D25" s="68" t="n"/>
      <c r="E25" s="68" t="n"/>
      <c r="F25" s="68" t="n"/>
    </row>
    <row r="26" ht="40" customHeight="1">
      <c r="A26" s="69" t="inlineStr">
        <is>
          <t>Q4（10-12月）</t>
        </is>
      </c>
      <c r="B26" s="69" t="n"/>
      <c r="C26" s="68" t="n"/>
      <c r="D26" s="68" t="n"/>
      <c r="E26" s="68" t="n"/>
      <c r="F26" s="68" t="n"/>
    </row>
  </sheetData>
  <mergeCells count="22">
    <mergeCell ref="B23:D23"/>
    <mergeCell ref="C23:E23"/>
    <mergeCell ref="K23:M23"/>
    <mergeCell ref="D25:F25"/>
    <mergeCell ref="B24:D24"/>
    <mergeCell ref="D24:F24"/>
    <mergeCell ref="H24:J24"/>
    <mergeCell ref="A1:M1"/>
    <mergeCell ref="D23:F23"/>
    <mergeCell ref="H23:J23"/>
    <mergeCell ref="B26:D26"/>
    <mergeCell ref="D26:F26"/>
    <mergeCell ref="H26:J26"/>
    <mergeCell ref="B25:D25"/>
    <mergeCell ref="K25:M25"/>
    <mergeCell ref="C24:E24"/>
    <mergeCell ref="K24:M24"/>
    <mergeCell ref="A21:M21"/>
    <mergeCell ref="C26:E26"/>
    <mergeCell ref="K26:M26"/>
    <mergeCell ref="H25:J25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2026-04-06T03:37:32Z</dcterms:created>
  <dcterms:modified xmlns:dcterms="http://purl.org/dc/terms/" xmlns:xsi="http://www.w3.org/2001/XMLSchema-instance" xsi:type="dcterms:W3CDTF">2026-04-06T03:37:32Z</dcterms:modified>
</cp:coreProperties>
</file>